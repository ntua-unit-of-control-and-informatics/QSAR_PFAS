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ssilis/Documents/GitHub/QSAR_PFAS/PFAS_HalfLife_QSAR/Restructured/data/"/>
    </mc:Choice>
  </mc:AlternateContent>
  <xr:revisionPtr revIDLastSave="0" documentId="8_{36F0704F-5FC6-0546-9788-294A960A56B2}" xr6:coauthVersionLast="47" xr6:coauthVersionMax="47" xr10:uidLastSave="{00000000-0000-0000-0000-000000000000}"/>
  <bookViews>
    <workbookView xWindow="-4540" yWindow="-21000" windowWidth="38400" windowHeight="21000" xr2:uid="{AB493B5C-9558-1046-910E-1F53F5FE99B3}"/>
  </bookViews>
  <sheets>
    <sheet name="Half-life_dataset_Human_statist" sheetId="1" r:id="rId1"/>
  </sheets>
  <calcPr calcId="0"/>
</workbook>
</file>

<file path=xl/calcChain.xml><?xml version="1.0" encoding="utf-8"?>
<calcChain xmlns="http://schemas.openxmlformats.org/spreadsheetml/2006/main">
  <c r="R89" i="1" l="1"/>
  <c r="Q89" i="1"/>
  <c r="G89" i="1" s="1"/>
  <c r="P89" i="1" s="1"/>
  <c r="P86" i="1"/>
  <c r="P87" i="1"/>
  <c r="P88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85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92" i="1"/>
  <c r="G86" i="1"/>
  <c r="G87" i="1"/>
  <c r="G88" i="1"/>
  <c r="G85" i="1"/>
  <c r="P69" i="1"/>
  <c r="R69" i="1"/>
  <c r="Q69" i="1"/>
  <c r="G69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5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</calcChain>
</file>

<file path=xl/sharedStrings.xml><?xml version="1.0" encoding="utf-8"?>
<sst xmlns="http://schemas.openxmlformats.org/spreadsheetml/2006/main" count="792" uniqueCount="132">
  <si>
    <t>Study</t>
  </si>
  <si>
    <t>DOI</t>
  </si>
  <si>
    <t>PFAS</t>
  </si>
  <si>
    <t>SMILES</t>
  </si>
  <si>
    <t>half_life_days</t>
  </si>
  <si>
    <t>half_life</t>
  </si>
  <si>
    <t>half_life_sd</t>
  </si>
  <si>
    <t>Individual_data</t>
  </si>
  <si>
    <t>N_individuals</t>
  </si>
  <si>
    <t>half_life_type</t>
  </si>
  <si>
    <t>Occupational_exposure</t>
  </si>
  <si>
    <t>tissue</t>
  </si>
  <si>
    <t>sex</t>
  </si>
  <si>
    <t>age (years)</t>
  </si>
  <si>
    <t>adult</t>
  </si>
  <si>
    <t>SE</t>
  </si>
  <si>
    <t>CI_l</t>
  </si>
  <si>
    <t>CI_u</t>
  </si>
  <si>
    <t>Comments</t>
  </si>
  <si>
    <t>Fu et al. 2016</t>
  </si>
  <si>
    <t>https://doi.org/10.1038/srep38039</t>
  </si>
  <si>
    <t>PFHxS</t>
  </si>
  <si>
    <t>C(C(C(C(F)(F)S(=O)(=O)O)(F)F)(F)F)(C(C(F)(F)F)(F)F)(F)F</t>
  </si>
  <si>
    <t>apparent</t>
  </si>
  <si>
    <t>GM and GSD reported</t>
  </si>
  <si>
    <t>PFOA</t>
  </si>
  <si>
    <t>C(=O)(C(C(C(C(C(C(C(F)(F)F)(F)F)(F)F)(F)F)(F)F)(F)F)(F)F)O</t>
  </si>
  <si>
    <t>PFOS</t>
  </si>
  <si>
    <t>C(C(C(C(C(F)(F)S(=O)(=O)O)(F)F)(F)F)(F)F)(C(C(C(F)(F)F)(F)F)(F)F)(F)F</t>
  </si>
  <si>
    <t>Li et al. 2018</t>
  </si>
  <si>
    <t>https://doi.org/10.1136/oemed-2017-104651</t>
  </si>
  <si>
    <t>ME/2 != Ci - y</t>
  </si>
  <si>
    <t>Li et al. 2022</t>
  </si>
  <si>
    <t>https://doi.org/10.1016/j.envint.2022.107198</t>
  </si>
  <si>
    <t>intrinsic</t>
  </si>
  <si>
    <t>serum</t>
  </si>
  <si>
    <t>both</t>
  </si>
  <si>
    <t>PFPeS</t>
  </si>
  <si>
    <t>C(C(C(F)(F)F)(F)F)(C(C(F)(F)S(=O)(=O)O)(F)F)(F)F</t>
  </si>
  <si>
    <t>PFHpS</t>
  </si>
  <si>
    <t>C(C(C(C(F)(F)F)(F)F)(F)F)(C(C(C(F)(F)S(=O)(=O)O)(F)F)(F)F)(F)F</t>
  </si>
  <si>
    <t>1mPFOS</t>
  </si>
  <si>
    <t>C(C(C(C(C(F)(F)F)(F)S(=O)(=O)O)(F)F)(F)F)(C(C(C(F)(F)F)(F)F)(F)F)(F)F</t>
  </si>
  <si>
    <t>3mPFOS</t>
  </si>
  <si>
    <t>C(C(C(C(C(F)(F)F)(F)F)(F)F)(F)F)(C(C(F)(F)S(=O)(=O)O)(F)F)(C(F)(F)F)F</t>
  </si>
  <si>
    <t>4mPFOS</t>
  </si>
  <si>
    <t>C(C(C(C(F)(F)F)(F)F)(F)F)(C(C(C(F)(F)S(=O)(=O)O)(F)F)(F)F)(C(F)(F)F)F</t>
  </si>
  <si>
    <t>5mPFOS</t>
  </si>
  <si>
    <t>C(C(C(C(C(F)(F)S(=O)(=O)O)(F)F)(F)F)(F)F)(C(C(F)(F)F)(F)F)(C(F)(F)F)F</t>
  </si>
  <si>
    <t>2mPFOS</t>
  </si>
  <si>
    <t>C(C(C(C(C(C(F)(F)F)(F)F)(F)F)(F)F)(F)F)(C(F)(F)F)(C(F)(F)S(=O)(=O)O)F</t>
  </si>
  <si>
    <t>6mPFOS</t>
  </si>
  <si>
    <t>C(C(C(C(C(C(F)(F)S(=O)(=O)O)(F)F)(F)F)(F)F)(F)F)(C(F)(F)F)(C(F)(F)F)F</t>
  </si>
  <si>
    <t>Zhang et al. 2013</t>
  </si>
  <si>
    <t>https://doi.org/dx.doi.org/10.1021/es401905e</t>
  </si>
  <si>
    <t>female</t>
  </si>
  <si>
    <t>&lt;50</t>
  </si>
  <si>
    <t>iso-PFOS</t>
  </si>
  <si>
    <t>NA</t>
  </si>
  <si>
    <t>PFHpA</t>
  </si>
  <si>
    <t>C(=O)(C(C(C(C(C(C(F)(F)F)(F)F)(F)F)(F)F)(F)F)(F)F)O</t>
  </si>
  <si>
    <t>PFNA</t>
  </si>
  <si>
    <t>C(=O)(C(C(C(C(C(C(C(C(F)(F)F)(F)F)(F)F)(F)F)(F)F)(F)F)(F)F)(F)F)O</t>
  </si>
  <si>
    <t>PFDA</t>
  </si>
  <si>
    <t>C(=O)(C(C(C(C(C(C(C(C(C(F)(F)F)(F)F)(F)F)(F)F)(F)F)(F)F)(F)F)(F)F)(F)F)O</t>
  </si>
  <si>
    <t>PFUnA</t>
  </si>
  <si>
    <t>C(=O)(C(C(C(C(C(C(C(C(C(C(F)(F)F)(F)F)(F)F)(F)F)(F)F)(F)F)(F)F)(F)F)(F)F)(F)F)O</t>
  </si>
  <si>
    <t>iso-PFOA</t>
  </si>
  <si>
    <t>4mPFOA</t>
  </si>
  <si>
    <t>C(=O)(C(C(C(C(C(C(F)(F)F)(F)F)(F)F)(C(F)(F)F)F)(F)F)(F)F)O</t>
  </si>
  <si>
    <t>5mPFOA</t>
  </si>
  <si>
    <t>C(=O)(C(C(C(C(C(C(F)(F)F)(F)F)(C(F)(F)F)F)(F)F)(F)F)(F)F)O</t>
  </si>
  <si>
    <t>&gt;50</t>
  </si>
  <si>
    <t>Wallis et al. 2023</t>
  </si>
  <si>
    <t>https://doi.org/10.1021/acs.est.2c08241</t>
  </si>
  <si>
    <t>PFO4DA</t>
  </si>
  <si>
    <t>C(=O)(C(OC(OC(OC(OC(F)(F)F)(F)F)(F)F)(F)F)(F)F)O</t>
  </si>
  <si>
    <t>Had wrong values</t>
  </si>
  <si>
    <t>Nafion-BP2</t>
  </si>
  <si>
    <t>C(C(F)(F)F)(OC(C(C(F)(F)F)(OC(C(F)(F)S(=O)(=O)O)(F)F)F)(F)F)F</t>
  </si>
  <si>
    <t>PFO5DoA</t>
  </si>
  <si>
    <t>C(=O)(C(OC(OC(OC(OC(OC(F)(F)F)(F)F)(F)F)(F)F)(F)F)(F)F)O</t>
  </si>
  <si>
    <t>Nilsson et al.2022a</t>
  </si>
  <si>
    <t>https://doi.org/10.1021/acs.est.2c04637</t>
  </si>
  <si>
    <t>male</t>
  </si>
  <si>
    <t>4,5dm-PFOS</t>
  </si>
  <si>
    <t>C(C(C(F)(F)F)(C(F)(F)F)F)(C(C(C(F)(F)S(=O)(=O)O)(F)F)(F)F)(C(F)(F)F)F</t>
  </si>
  <si>
    <t>8-Cl-PFOS</t>
  </si>
  <si>
    <t>C(C(C(C(C(F)(F)Cl)(F)F)(F)F)(F)F)(C(C(C(F)(F)S(=O)(=O)O)(F)F)(F)F)(F)F</t>
  </si>
  <si>
    <t>Nilsson et al.2022b</t>
  </si>
  <si>
    <t>https://doi.org/10.1016/j.ijheh.2022.114040</t>
  </si>
  <si>
    <t>Batzella et al. 2024</t>
  </si>
  <si>
    <t>https://doi.org/10.1289/EHP13152</t>
  </si>
  <si>
    <t>Costa et al. 2009</t>
  </si>
  <si>
    <t>https://doi.org/10.1097/JOM.0b013e3181965d80</t>
  </si>
  <si>
    <t>Lewis-Michl et al. 2025</t>
  </si>
  <si>
    <t>https://doi.org/10.1038/s41370-025-00769-z</t>
  </si>
  <si>
    <t>Chang et al. 2008</t>
  </si>
  <si>
    <t>https://doi.org/10.1093/toxsci/kfn057</t>
  </si>
  <si>
    <t>PFBA</t>
  </si>
  <si>
    <t>C(=O)(C(C(C(F)(F)F)(F)F)(F)F)O</t>
  </si>
  <si>
    <t>95% CI</t>
  </si>
  <si>
    <t>Abraham et al. 2024</t>
  </si>
  <si>
    <t>https://doi.org/10.1016/j.envint.2024.109047</t>
  </si>
  <si>
    <t>PFPeA</t>
  </si>
  <si>
    <t>C(=O)(C(C(C(C(F)(F)F)(F)F)(F)F)(F)F)O</t>
  </si>
  <si>
    <t>PFHxA</t>
  </si>
  <si>
    <t>C(=O)(C(C(C(C(C(F)(F)F)(F)F)(F)F)(F)F)(F)F)O</t>
  </si>
  <si>
    <t>PFUdA</t>
  </si>
  <si>
    <t>C(=O)(C(C(C(C(C(C(C(C(C(C(F)(F)F)(F)F)(F)F)(F)F)(F)F)(F)F)(F)F)(F)F)(F)F)(F)F)[O-]</t>
  </si>
  <si>
    <t>PFDoA</t>
  </si>
  <si>
    <t>C(=O)(C(C(C(C(C(C(C(C(C(C(C(F)(F)F)(F)F)(F)F)(F)F)(F)F)(F)F)(F)F)(F)F)(F)F)(F)F)(F)F)O</t>
  </si>
  <si>
    <t>PFBS</t>
  </si>
  <si>
    <t>C(C(C(F)(F)S(=O)(=O)O)(F)F)(C(F)(F)F)(F)F</t>
  </si>
  <si>
    <t>6:2FTS</t>
  </si>
  <si>
    <t>[13CH2]([13CH2]S(=O)(=O)O)C(C(C(C(C(C(F)(F)F)(F)F)(F)F)(F)F)(F)F)(F)F</t>
  </si>
  <si>
    <t>HFPO-DA</t>
  </si>
  <si>
    <t>C(=O)(C(C(F)(F)F)(OC(C(C(F)(F)F)(F)F)(F)F)F)O</t>
  </si>
  <si>
    <t>DONA</t>
  </si>
  <si>
    <t>C(C(C(=O)O)(F)F)(OC(C(C(OC(F)(F)F)(F)F)(F)F)(F)F)F</t>
  </si>
  <si>
    <t>Gomis et al. 2016</t>
  </si>
  <si>
    <t>https://doi.org/10.1021/acs.est.6b01477</t>
  </si>
  <si>
    <t>Olsen et al. 2007</t>
  </si>
  <si>
    <t>https://doi.org/10.1289/ehp.10009</t>
  </si>
  <si>
    <t>Olsen et al. 2009</t>
  </si>
  <si>
    <t>https://doi.org/10.1016/j.tox.2008.11.008</t>
  </si>
  <si>
    <t>Russel et al. 2013</t>
  </si>
  <si>
    <t>https://dx.doi.org/10.1016/j.chemosphere.2013.08.060</t>
  </si>
  <si>
    <t>Xu et al.2020</t>
  </si>
  <si>
    <t>https://doi.org/10.1289/EHP6785</t>
  </si>
  <si>
    <t>Yu et al. 2021</t>
  </si>
  <si>
    <t>https://doi.org/10.1016/j.ijheh.2021.113757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</si>
</sst>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9FD6-814F-7A4E-BFEE-2C48B3F61C51}">
  <dimension ref="A1:S105"/>
  <sheetViews>
    <sheetView tabSelected="1" workbookViewId="0">
      <selection activeCell="P6" sqref="P6"/>
    </sheetView>
  </sheetViews>
  <sheetFormatPr baseColWidth="10" defaultRowHeight="16" x14ac:dyDescent="0.2"/>
  <cols>
    <col min="1" max="1" width="19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>
        <v>7263.5</v>
      </c>
      <c r="F2">
        <v>19.899999999999999</v>
      </c>
      <c r="G2">
        <v>3.9</v>
      </c>
      <c r="H2" t="b">
        <v>0</v>
      </c>
      <c r="I2">
        <v>136</v>
      </c>
      <c r="J2" t="s">
        <v>23</v>
      </c>
      <c r="K2" t="b">
        <v>1</v>
      </c>
      <c r="P2">
        <f>G2/SQRT(I2)</f>
        <v>0.3344222410278922</v>
      </c>
      <c r="S2" t="s">
        <v>24</v>
      </c>
    </row>
    <row r="3" spans="1:19" x14ac:dyDescent="0.2">
      <c r="A3" t="s">
        <v>19</v>
      </c>
      <c r="B3" t="s">
        <v>20</v>
      </c>
      <c r="C3" t="s">
        <v>25</v>
      </c>
      <c r="D3" t="s">
        <v>26</v>
      </c>
      <c r="E3">
        <v>1715.5</v>
      </c>
      <c r="F3">
        <v>4.7</v>
      </c>
      <c r="G3">
        <v>3</v>
      </c>
      <c r="H3" t="b">
        <v>0</v>
      </c>
      <c r="I3">
        <v>136</v>
      </c>
      <c r="J3" t="s">
        <v>23</v>
      </c>
      <c r="K3" t="b">
        <v>1</v>
      </c>
      <c r="P3">
        <f t="shared" ref="P3:P21" si="0">G3/SQRT(I3)</f>
        <v>0.25724787771376323</v>
      </c>
      <c r="S3" t="s">
        <v>24</v>
      </c>
    </row>
    <row r="4" spans="1:19" x14ac:dyDescent="0.2">
      <c r="A4" t="s">
        <v>19</v>
      </c>
      <c r="B4" t="s">
        <v>20</v>
      </c>
      <c r="C4" t="s">
        <v>27</v>
      </c>
      <c r="D4" t="s">
        <v>28</v>
      </c>
      <c r="E4">
        <v>22228.5</v>
      </c>
      <c r="F4">
        <v>60.9</v>
      </c>
      <c r="G4">
        <v>4.8</v>
      </c>
      <c r="H4" t="b">
        <v>0</v>
      </c>
      <c r="I4">
        <v>136</v>
      </c>
      <c r="J4" t="s">
        <v>23</v>
      </c>
      <c r="K4" t="b">
        <v>1</v>
      </c>
      <c r="P4">
        <f t="shared" si="0"/>
        <v>0.41159660434202117</v>
      </c>
      <c r="S4" t="s">
        <v>24</v>
      </c>
    </row>
    <row r="5" spans="1:19" x14ac:dyDescent="0.2">
      <c r="A5" t="s">
        <v>19</v>
      </c>
      <c r="B5" t="s">
        <v>20</v>
      </c>
      <c r="C5" t="s">
        <v>21</v>
      </c>
      <c r="D5" t="s">
        <v>22</v>
      </c>
      <c r="E5">
        <v>2737.5</v>
      </c>
      <c r="F5">
        <v>7.5</v>
      </c>
      <c r="G5">
        <v>1.4</v>
      </c>
      <c r="H5" t="b">
        <v>0</v>
      </c>
      <c r="I5">
        <v>71</v>
      </c>
      <c r="J5" t="s">
        <v>23</v>
      </c>
      <c r="K5" t="b">
        <v>1</v>
      </c>
      <c r="P5">
        <f t="shared" si="0"/>
        <v>0.16614943214713945</v>
      </c>
      <c r="S5" t="s">
        <v>24</v>
      </c>
    </row>
    <row r="6" spans="1:19" x14ac:dyDescent="0.2">
      <c r="A6" t="s">
        <v>19</v>
      </c>
      <c r="B6" t="s">
        <v>20</v>
      </c>
      <c r="C6" t="s">
        <v>25</v>
      </c>
      <c r="D6" t="s">
        <v>26</v>
      </c>
      <c r="E6">
        <v>1131.5</v>
      </c>
      <c r="F6">
        <v>3.1</v>
      </c>
      <c r="G6">
        <v>2.2000000000000002</v>
      </c>
      <c r="H6" t="b">
        <v>0</v>
      </c>
      <c r="I6">
        <v>71</v>
      </c>
      <c r="J6" t="s">
        <v>23</v>
      </c>
      <c r="K6" t="b">
        <v>1</v>
      </c>
      <c r="P6">
        <f t="shared" si="0"/>
        <v>0.26109196480264774</v>
      </c>
      <c r="S6" t="s">
        <v>24</v>
      </c>
    </row>
    <row r="7" spans="1:19" x14ac:dyDescent="0.2">
      <c r="A7" t="s">
        <v>19</v>
      </c>
      <c r="B7" t="s">
        <v>20</v>
      </c>
      <c r="C7" t="s">
        <v>27</v>
      </c>
      <c r="D7" t="s">
        <v>28</v>
      </c>
      <c r="E7">
        <v>2920</v>
      </c>
      <c r="F7">
        <v>8</v>
      </c>
      <c r="G7">
        <v>1.9</v>
      </c>
      <c r="H7" t="b">
        <v>0</v>
      </c>
      <c r="I7">
        <v>71</v>
      </c>
      <c r="J7" t="s">
        <v>23</v>
      </c>
      <c r="K7" t="b">
        <v>1</v>
      </c>
      <c r="P7">
        <f t="shared" si="0"/>
        <v>0.22548851505683212</v>
      </c>
      <c r="S7" t="s">
        <v>24</v>
      </c>
    </row>
    <row r="8" spans="1:19" x14ac:dyDescent="0.2">
      <c r="A8" t="s">
        <v>29</v>
      </c>
      <c r="B8" t="s">
        <v>30</v>
      </c>
      <c r="C8" t="s">
        <v>21</v>
      </c>
      <c r="D8" t="s">
        <v>22</v>
      </c>
      <c r="E8">
        <v>19.344999999999999</v>
      </c>
      <c r="F8">
        <v>5.3</v>
      </c>
      <c r="G8">
        <v>3.6770107649999999</v>
      </c>
      <c r="H8" t="b">
        <v>0</v>
      </c>
      <c r="I8">
        <v>106</v>
      </c>
      <c r="J8" t="s">
        <v>23</v>
      </c>
      <c r="K8" t="b">
        <v>0</v>
      </c>
      <c r="P8">
        <f t="shared" si="0"/>
        <v>0.35714285717799682</v>
      </c>
      <c r="Q8">
        <v>4.5999999999999996</v>
      </c>
      <c r="R8">
        <v>6</v>
      </c>
      <c r="S8" t="s">
        <v>31</v>
      </c>
    </row>
    <row r="9" spans="1:19" x14ac:dyDescent="0.2">
      <c r="A9" t="s">
        <v>29</v>
      </c>
      <c r="B9" t="s">
        <v>30</v>
      </c>
      <c r="C9" t="s">
        <v>27</v>
      </c>
      <c r="D9" t="s">
        <v>28</v>
      </c>
      <c r="E9">
        <v>1241</v>
      </c>
      <c r="F9">
        <v>3.4</v>
      </c>
      <c r="G9">
        <v>1.5758617559999999</v>
      </c>
      <c r="H9" t="b">
        <v>0</v>
      </c>
      <c r="I9">
        <v>106</v>
      </c>
      <c r="J9" t="s">
        <v>23</v>
      </c>
      <c r="K9" t="b">
        <v>0</v>
      </c>
      <c r="P9">
        <f t="shared" si="0"/>
        <v>0.15306122446322926</v>
      </c>
      <c r="Q9">
        <v>3.1</v>
      </c>
      <c r="R9">
        <v>3.7</v>
      </c>
      <c r="S9" t="s">
        <v>31</v>
      </c>
    </row>
    <row r="10" spans="1:19" x14ac:dyDescent="0.2">
      <c r="A10" t="s">
        <v>29</v>
      </c>
      <c r="B10" t="s">
        <v>30</v>
      </c>
      <c r="C10" t="s">
        <v>25</v>
      </c>
      <c r="D10" t="s">
        <v>26</v>
      </c>
      <c r="E10">
        <v>985.5</v>
      </c>
      <c r="F10">
        <v>2.7</v>
      </c>
      <c r="G10">
        <v>1.0505745040000001</v>
      </c>
      <c r="H10" t="b">
        <v>0</v>
      </c>
      <c r="I10">
        <v>106</v>
      </c>
      <c r="J10" t="s">
        <v>23</v>
      </c>
      <c r="K10" t="b">
        <v>0</v>
      </c>
      <c r="P10">
        <f t="shared" si="0"/>
        <v>0.10204081630881952</v>
      </c>
      <c r="Q10">
        <v>2.5</v>
      </c>
      <c r="R10">
        <v>2.9</v>
      </c>
      <c r="S10" t="s">
        <v>31</v>
      </c>
    </row>
    <row r="11" spans="1:19" x14ac:dyDescent="0.2">
      <c r="A11" t="s">
        <v>32</v>
      </c>
      <c r="B11" t="s">
        <v>33</v>
      </c>
      <c r="C11" t="s">
        <v>25</v>
      </c>
      <c r="D11" t="s">
        <v>26</v>
      </c>
      <c r="E11">
        <v>901.55</v>
      </c>
      <c r="F11">
        <v>2.4700000000000002</v>
      </c>
      <c r="G11">
        <v>1.171210114</v>
      </c>
      <c r="H11" t="b">
        <v>0</v>
      </c>
      <c r="I11">
        <v>114</v>
      </c>
      <c r="J11" t="s">
        <v>34</v>
      </c>
      <c r="K11" t="b">
        <v>0</v>
      </c>
      <c r="L11" t="s">
        <v>35</v>
      </c>
      <c r="M11" t="s">
        <v>36</v>
      </c>
      <c r="P11">
        <f t="shared" si="0"/>
        <v>0.10969387751533782</v>
      </c>
      <c r="Q11">
        <v>2.27</v>
      </c>
      <c r="R11">
        <v>2.7</v>
      </c>
    </row>
    <row r="12" spans="1:19" x14ac:dyDescent="0.2">
      <c r="A12" t="s">
        <v>32</v>
      </c>
      <c r="B12" t="s">
        <v>33</v>
      </c>
      <c r="C12" t="s">
        <v>37</v>
      </c>
      <c r="D12" t="s">
        <v>38</v>
      </c>
      <c r="F12">
        <v>0.94</v>
      </c>
      <c r="G12">
        <v>0.43579911199999999</v>
      </c>
      <c r="H12" t="b">
        <v>0</v>
      </c>
      <c r="I12">
        <v>114</v>
      </c>
      <c r="J12" t="s">
        <v>34</v>
      </c>
      <c r="K12" t="b">
        <v>0</v>
      </c>
      <c r="L12" t="s">
        <v>35</v>
      </c>
      <c r="M12" t="s">
        <v>36</v>
      </c>
      <c r="P12">
        <f t="shared" si="0"/>
        <v>4.0816326499910155E-2</v>
      </c>
      <c r="Q12">
        <v>0.86</v>
      </c>
      <c r="R12">
        <v>1.02</v>
      </c>
    </row>
    <row r="13" spans="1:19" x14ac:dyDescent="0.2">
      <c r="A13" t="s">
        <v>32</v>
      </c>
      <c r="B13" t="s">
        <v>33</v>
      </c>
      <c r="C13" t="s">
        <v>21</v>
      </c>
      <c r="D13" t="s">
        <v>22</v>
      </c>
      <c r="F13">
        <v>4.5199999999999996</v>
      </c>
      <c r="G13">
        <v>2.3151827840000001</v>
      </c>
      <c r="H13" t="b">
        <v>0</v>
      </c>
      <c r="I13">
        <v>114</v>
      </c>
      <c r="J13" t="s">
        <v>34</v>
      </c>
      <c r="K13" t="b">
        <v>0</v>
      </c>
      <c r="L13" t="s">
        <v>35</v>
      </c>
      <c r="M13" t="s">
        <v>36</v>
      </c>
      <c r="P13">
        <f t="shared" si="0"/>
        <v>0.21683673467126058</v>
      </c>
      <c r="Q13">
        <v>4.1399999999999997</v>
      </c>
      <c r="R13">
        <v>4.99</v>
      </c>
    </row>
    <row r="14" spans="1:19" x14ac:dyDescent="0.2">
      <c r="A14" t="s">
        <v>32</v>
      </c>
      <c r="B14" t="s">
        <v>33</v>
      </c>
      <c r="C14" t="s">
        <v>39</v>
      </c>
      <c r="D14" t="s">
        <v>40</v>
      </c>
      <c r="F14">
        <v>4.55</v>
      </c>
      <c r="G14">
        <v>2.5058448960000002</v>
      </c>
      <c r="H14" t="b">
        <v>0</v>
      </c>
      <c r="I14">
        <v>114</v>
      </c>
      <c r="J14" t="s">
        <v>34</v>
      </c>
      <c r="K14" t="b">
        <v>0</v>
      </c>
      <c r="L14" t="s">
        <v>35</v>
      </c>
      <c r="M14" t="s">
        <v>36</v>
      </c>
      <c r="P14">
        <f t="shared" si="0"/>
        <v>0.23469387756180057</v>
      </c>
      <c r="Q14">
        <v>4.1399999999999997</v>
      </c>
      <c r="R14">
        <v>5.0599999999999996</v>
      </c>
    </row>
    <row r="15" spans="1:19" x14ac:dyDescent="0.2">
      <c r="A15" t="s">
        <v>32</v>
      </c>
      <c r="B15" t="s">
        <v>33</v>
      </c>
      <c r="C15" t="s">
        <v>27</v>
      </c>
      <c r="D15" t="s">
        <v>28</v>
      </c>
      <c r="F15">
        <v>2.73</v>
      </c>
      <c r="G15">
        <v>1.0077854470000001</v>
      </c>
      <c r="H15" t="b">
        <v>0</v>
      </c>
      <c r="I15">
        <v>114</v>
      </c>
      <c r="J15" t="s">
        <v>34</v>
      </c>
      <c r="K15" t="b">
        <v>0</v>
      </c>
      <c r="L15" t="s">
        <v>35</v>
      </c>
      <c r="M15" t="s">
        <v>36</v>
      </c>
      <c r="P15">
        <f t="shared" si="0"/>
        <v>9.4387755077871532E-2</v>
      </c>
      <c r="Q15">
        <v>2.5499999999999998</v>
      </c>
      <c r="R15">
        <v>2.92</v>
      </c>
    </row>
    <row r="16" spans="1:19" x14ac:dyDescent="0.2">
      <c r="A16" t="s">
        <v>32</v>
      </c>
      <c r="B16" t="s">
        <v>33</v>
      </c>
      <c r="C16" t="s">
        <v>41</v>
      </c>
      <c r="D16" t="s">
        <v>42</v>
      </c>
      <c r="F16">
        <v>5.01</v>
      </c>
      <c r="G16">
        <v>2.6965070080000002</v>
      </c>
      <c r="H16" t="b">
        <v>0</v>
      </c>
      <c r="I16">
        <v>114</v>
      </c>
      <c r="J16" t="s">
        <v>34</v>
      </c>
      <c r="K16" t="b">
        <v>0</v>
      </c>
      <c r="L16" t="s">
        <v>35</v>
      </c>
      <c r="M16" t="s">
        <v>36</v>
      </c>
      <c r="P16">
        <f t="shared" si="0"/>
        <v>0.25255102045234057</v>
      </c>
      <c r="Q16">
        <v>4.5599999999999996</v>
      </c>
      <c r="R16">
        <v>5.55</v>
      </c>
    </row>
    <row r="17" spans="1:18" x14ac:dyDescent="0.2">
      <c r="A17" t="s">
        <v>32</v>
      </c>
      <c r="B17" t="s">
        <v>33</v>
      </c>
      <c r="C17" t="s">
        <v>43</v>
      </c>
      <c r="D17" t="s">
        <v>44</v>
      </c>
      <c r="F17">
        <v>3.43</v>
      </c>
      <c r="G17">
        <v>1.416347115</v>
      </c>
      <c r="H17" t="b">
        <v>0</v>
      </c>
      <c r="I17">
        <v>114</v>
      </c>
      <c r="J17" t="s">
        <v>34</v>
      </c>
      <c r="K17" t="b">
        <v>0</v>
      </c>
      <c r="L17" t="s">
        <v>35</v>
      </c>
      <c r="M17" t="s">
        <v>36</v>
      </c>
      <c r="P17">
        <f t="shared" si="0"/>
        <v>0.13265306121836659</v>
      </c>
      <c r="Q17">
        <v>3.19</v>
      </c>
      <c r="R17">
        <v>3.71</v>
      </c>
    </row>
    <row r="18" spans="1:18" x14ac:dyDescent="0.2">
      <c r="A18" t="s">
        <v>32</v>
      </c>
      <c r="B18" t="s">
        <v>33</v>
      </c>
      <c r="C18" t="s">
        <v>45</v>
      </c>
      <c r="D18" t="s">
        <v>46</v>
      </c>
      <c r="F18">
        <v>3.43</v>
      </c>
      <c r="G18">
        <v>1.416347115</v>
      </c>
      <c r="H18" t="b">
        <v>0</v>
      </c>
      <c r="I18">
        <v>114</v>
      </c>
      <c r="J18" t="s">
        <v>34</v>
      </c>
      <c r="K18" t="b">
        <v>0</v>
      </c>
      <c r="L18" t="s">
        <v>35</v>
      </c>
      <c r="M18" t="s">
        <v>36</v>
      </c>
      <c r="P18">
        <f t="shared" si="0"/>
        <v>0.13265306121836659</v>
      </c>
      <c r="Q18">
        <v>3.19</v>
      </c>
      <c r="R18">
        <v>3.71</v>
      </c>
    </row>
    <row r="19" spans="1:18" x14ac:dyDescent="0.2">
      <c r="A19" t="s">
        <v>32</v>
      </c>
      <c r="B19" t="s">
        <v>33</v>
      </c>
      <c r="C19" t="s">
        <v>47</v>
      </c>
      <c r="D19" t="s">
        <v>48</v>
      </c>
      <c r="F19">
        <v>3.43</v>
      </c>
      <c r="G19">
        <v>1.416347115</v>
      </c>
      <c r="H19" t="b">
        <v>0</v>
      </c>
      <c r="I19">
        <v>114</v>
      </c>
      <c r="J19" t="s">
        <v>34</v>
      </c>
      <c r="K19" t="b">
        <v>0</v>
      </c>
      <c r="L19" t="s">
        <v>35</v>
      </c>
      <c r="M19" t="s">
        <v>36</v>
      </c>
      <c r="P19">
        <f t="shared" si="0"/>
        <v>0.13265306121836659</v>
      </c>
      <c r="Q19">
        <v>3.19</v>
      </c>
      <c r="R19">
        <v>3.71</v>
      </c>
    </row>
    <row r="20" spans="1:18" x14ac:dyDescent="0.2">
      <c r="A20" t="s">
        <v>32</v>
      </c>
      <c r="B20" t="s">
        <v>33</v>
      </c>
      <c r="C20" t="s">
        <v>49</v>
      </c>
      <c r="D20" t="s">
        <v>50</v>
      </c>
      <c r="F20">
        <v>2.67</v>
      </c>
      <c r="G20">
        <v>0.898835669</v>
      </c>
      <c r="H20" t="b">
        <v>0</v>
      </c>
      <c r="I20">
        <v>114</v>
      </c>
      <c r="J20" t="s">
        <v>34</v>
      </c>
      <c r="K20" t="b">
        <v>0</v>
      </c>
      <c r="L20" t="s">
        <v>35</v>
      </c>
      <c r="M20" t="s">
        <v>36</v>
      </c>
      <c r="P20">
        <f t="shared" si="0"/>
        <v>8.4183673452893987E-2</v>
      </c>
      <c r="Q20">
        <v>2.52</v>
      </c>
      <c r="R20">
        <v>2.85</v>
      </c>
    </row>
    <row r="21" spans="1:18" x14ac:dyDescent="0.2">
      <c r="A21" t="s">
        <v>32</v>
      </c>
      <c r="B21" t="s">
        <v>33</v>
      </c>
      <c r="C21" t="s">
        <v>51</v>
      </c>
      <c r="D21" t="s">
        <v>52</v>
      </c>
      <c r="F21">
        <v>2.67</v>
      </c>
      <c r="G21">
        <v>0.898835669</v>
      </c>
      <c r="H21" t="b">
        <v>0</v>
      </c>
      <c r="I21">
        <v>114</v>
      </c>
      <c r="J21" t="s">
        <v>34</v>
      </c>
      <c r="K21" t="b">
        <v>0</v>
      </c>
      <c r="L21" t="s">
        <v>35</v>
      </c>
      <c r="M21" t="s">
        <v>36</v>
      </c>
      <c r="P21">
        <f t="shared" si="0"/>
        <v>8.4183673452893987E-2</v>
      </c>
      <c r="Q21">
        <v>2.52</v>
      </c>
      <c r="R21">
        <v>2.85</v>
      </c>
    </row>
    <row r="22" spans="1:18" x14ac:dyDescent="0.2">
      <c r="A22" t="s">
        <v>53</v>
      </c>
      <c r="B22" t="s">
        <v>54</v>
      </c>
      <c r="C22" t="s">
        <v>21</v>
      </c>
      <c r="D22" t="s">
        <v>22</v>
      </c>
      <c r="E22">
        <v>2810.5</v>
      </c>
      <c r="F22">
        <v>7.7</v>
      </c>
      <c r="G22">
        <v>2.6153393660000002</v>
      </c>
      <c r="H22" t="b">
        <v>0</v>
      </c>
      <c r="I22">
        <v>19</v>
      </c>
      <c r="J22" t="s">
        <v>23</v>
      </c>
      <c r="K22" t="b">
        <v>0</v>
      </c>
      <c r="L22" t="s">
        <v>35</v>
      </c>
      <c r="M22" t="s">
        <v>55</v>
      </c>
      <c r="N22" t="s">
        <v>56</v>
      </c>
      <c r="O22" t="b">
        <v>1</v>
      </c>
      <c r="P22">
        <v>0.6</v>
      </c>
    </row>
    <row r="23" spans="1:18" x14ac:dyDescent="0.2">
      <c r="A23" t="s">
        <v>53</v>
      </c>
      <c r="B23" t="s">
        <v>54</v>
      </c>
      <c r="C23" t="s">
        <v>27</v>
      </c>
      <c r="D23" t="s">
        <v>28</v>
      </c>
      <c r="E23">
        <v>2445.5</v>
      </c>
      <c r="F23">
        <v>6.7</v>
      </c>
      <c r="G23">
        <v>2.2360679769999998</v>
      </c>
      <c r="H23" t="b">
        <v>0</v>
      </c>
      <c r="I23">
        <v>20</v>
      </c>
      <c r="J23" t="s">
        <v>23</v>
      </c>
      <c r="K23" t="b">
        <v>0</v>
      </c>
      <c r="L23" t="s">
        <v>35</v>
      </c>
      <c r="M23" t="s">
        <v>55</v>
      </c>
      <c r="N23" t="s">
        <v>56</v>
      </c>
      <c r="O23" t="b">
        <v>1</v>
      </c>
      <c r="P23">
        <v>0.5</v>
      </c>
    </row>
    <row r="24" spans="1:18" x14ac:dyDescent="0.2">
      <c r="A24" t="s">
        <v>53</v>
      </c>
      <c r="B24" t="s">
        <v>54</v>
      </c>
      <c r="C24" t="s">
        <v>57</v>
      </c>
      <c r="D24" t="s">
        <v>58</v>
      </c>
      <c r="E24">
        <v>2153.5</v>
      </c>
      <c r="F24">
        <v>5.9</v>
      </c>
      <c r="G24">
        <v>2.6832815729999999</v>
      </c>
      <c r="H24" t="b">
        <v>0</v>
      </c>
      <c r="I24">
        <v>20</v>
      </c>
      <c r="J24" t="s">
        <v>23</v>
      </c>
      <c r="K24" t="b">
        <v>0</v>
      </c>
      <c r="L24" t="s">
        <v>35</v>
      </c>
      <c r="M24" t="s">
        <v>55</v>
      </c>
      <c r="N24" t="s">
        <v>56</v>
      </c>
      <c r="O24" t="b">
        <v>1</v>
      </c>
      <c r="P24">
        <v>0.6</v>
      </c>
    </row>
    <row r="25" spans="1:18" x14ac:dyDescent="0.2">
      <c r="A25" t="s">
        <v>53</v>
      </c>
      <c r="B25" t="s">
        <v>54</v>
      </c>
      <c r="C25" t="s">
        <v>41</v>
      </c>
      <c r="D25" t="s">
        <v>42</v>
      </c>
      <c r="E25">
        <v>3650</v>
      </c>
      <c r="F25">
        <v>10</v>
      </c>
      <c r="G25">
        <v>2.8844410200000001</v>
      </c>
      <c r="H25" t="b">
        <v>0</v>
      </c>
      <c r="I25">
        <v>13</v>
      </c>
      <c r="J25" t="s">
        <v>23</v>
      </c>
      <c r="K25" t="b">
        <v>0</v>
      </c>
      <c r="L25" t="s">
        <v>35</v>
      </c>
      <c r="M25" t="s">
        <v>55</v>
      </c>
      <c r="N25" t="s">
        <v>56</v>
      </c>
      <c r="O25" t="b">
        <v>1</v>
      </c>
      <c r="P25">
        <v>0.8</v>
      </c>
    </row>
    <row r="26" spans="1:18" x14ac:dyDescent="0.2">
      <c r="A26" t="s">
        <v>53</v>
      </c>
      <c r="B26" t="s">
        <v>54</v>
      </c>
      <c r="C26" t="s">
        <v>45</v>
      </c>
      <c r="D26" t="s">
        <v>46</v>
      </c>
      <c r="E26">
        <v>2117</v>
      </c>
      <c r="F26">
        <v>5.8</v>
      </c>
      <c r="G26">
        <v>2.2360679769999998</v>
      </c>
      <c r="H26" t="b">
        <v>0</v>
      </c>
      <c r="I26">
        <v>20</v>
      </c>
      <c r="J26" t="s">
        <v>23</v>
      </c>
      <c r="K26" t="b">
        <v>0</v>
      </c>
      <c r="L26" t="s">
        <v>35</v>
      </c>
      <c r="M26" t="s">
        <v>55</v>
      </c>
      <c r="N26" t="s">
        <v>56</v>
      </c>
      <c r="O26" t="b">
        <v>1</v>
      </c>
      <c r="P26">
        <v>0.5</v>
      </c>
    </row>
    <row r="27" spans="1:18" x14ac:dyDescent="0.2">
      <c r="A27" t="s">
        <v>53</v>
      </c>
      <c r="B27" t="s">
        <v>54</v>
      </c>
      <c r="C27" t="s">
        <v>43</v>
      </c>
      <c r="D27" t="s">
        <v>44</v>
      </c>
      <c r="E27">
        <v>1825</v>
      </c>
      <c r="F27">
        <v>5</v>
      </c>
      <c r="G27">
        <v>1.788854382</v>
      </c>
      <c r="H27" t="b">
        <v>0</v>
      </c>
      <c r="I27">
        <v>20</v>
      </c>
      <c r="J27" t="s">
        <v>23</v>
      </c>
      <c r="K27" t="b">
        <v>0</v>
      </c>
      <c r="L27" t="s">
        <v>35</v>
      </c>
      <c r="M27" t="s">
        <v>55</v>
      </c>
      <c r="N27" t="s">
        <v>56</v>
      </c>
      <c r="O27" t="b">
        <v>1</v>
      </c>
      <c r="P27">
        <v>0.4</v>
      </c>
    </row>
    <row r="28" spans="1:18" x14ac:dyDescent="0.2">
      <c r="A28" t="s">
        <v>53</v>
      </c>
      <c r="B28" t="s">
        <v>54</v>
      </c>
      <c r="C28" t="s">
        <v>47</v>
      </c>
      <c r="D28" t="s">
        <v>48</v>
      </c>
      <c r="E28">
        <v>1825</v>
      </c>
      <c r="F28">
        <v>5</v>
      </c>
      <c r="G28">
        <v>1.788854382</v>
      </c>
      <c r="H28" t="b">
        <v>0</v>
      </c>
      <c r="I28">
        <v>20</v>
      </c>
      <c r="J28" t="s">
        <v>23</v>
      </c>
      <c r="K28" t="b">
        <v>0</v>
      </c>
      <c r="L28" t="s">
        <v>35</v>
      </c>
      <c r="M28" t="s">
        <v>55</v>
      </c>
      <c r="N28" t="s">
        <v>56</v>
      </c>
      <c r="O28" t="b">
        <v>1</v>
      </c>
      <c r="P28">
        <v>0.4</v>
      </c>
    </row>
    <row r="29" spans="1:18" x14ac:dyDescent="0.2">
      <c r="A29" t="s">
        <v>53</v>
      </c>
      <c r="B29" t="s">
        <v>54</v>
      </c>
      <c r="C29" t="s">
        <v>59</v>
      </c>
      <c r="D29" t="s">
        <v>60</v>
      </c>
      <c r="E29">
        <v>547.5</v>
      </c>
      <c r="F29">
        <v>1.5</v>
      </c>
      <c r="G29">
        <v>1.039230485</v>
      </c>
      <c r="H29" t="b">
        <v>0</v>
      </c>
      <c r="I29">
        <v>12</v>
      </c>
      <c r="J29" t="s">
        <v>23</v>
      </c>
      <c r="K29" t="b">
        <v>0</v>
      </c>
      <c r="L29" t="s">
        <v>35</v>
      </c>
      <c r="M29" t="s">
        <v>55</v>
      </c>
      <c r="N29" t="s">
        <v>56</v>
      </c>
      <c r="O29" t="b">
        <v>1</v>
      </c>
      <c r="P29">
        <v>0.3</v>
      </c>
    </row>
    <row r="30" spans="1:18" x14ac:dyDescent="0.2">
      <c r="A30" t="s">
        <v>53</v>
      </c>
      <c r="B30" t="s">
        <v>54</v>
      </c>
      <c r="C30" t="s">
        <v>61</v>
      </c>
      <c r="D30" t="s">
        <v>62</v>
      </c>
      <c r="E30">
        <v>912.5</v>
      </c>
      <c r="F30">
        <v>2.5</v>
      </c>
      <c r="G30">
        <v>2.4</v>
      </c>
      <c r="H30" t="b">
        <v>0</v>
      </c>
      <c r="I30">
        <v>16</v>
      </c>
      <c r="J30" t="s">
        <v>23</v>
      </c>
      <c r="K30" t="b">
        <v>0</v>
      </c>
      <c r="L30" t="s">
        <v>35</v>
      </c>
      <c r="M30" t="s">
        <v>55</v>
      </c>
      <c r="N30" t="s">
        <v>56</v>
      </c>
      <c r="O30" t="b">
        <v>1</v>
      </c>
      <c r="P30">
        <v>0.6</v>
      </c>
    </row>
    <row r="31" spans="1:18" x14ac:dyDescent="0.2">
      <c r="A31" t="s">
        <v>53</v>
      </c>
      <c r="B31" t="s">
        <v>54</v>
      </c>
      <c r="C31" t="s">
        <v>63</v>
      </c>
      <c r="D31" t="s">
        <v>64</v>
      </c>
      <c r="E31">
        <v>1642.5</v>
      </c>
      <c r="F31">
        <v>4.5</v>
      </c>
      <c r="G31">
        <v>1.7435595770000001</v>
      </c>
      <c r="H31" t="b">
        <v>0</v>
      </c>
      <c r="I31">
        <v>19</v>
      </c>
      <c r="J31" t="s">
        <v>23</v>
      </c>
      <c r="K31" t="b">
        <v>0</v>
      </c>
      <c r="L31" t="s">
        <v>35</v>
      </c>
      <c r="M31" t="s">
        <v>55</v>
      </c>
      <c r="N31" t="s">
        <v>56</v>
      </c>
      <c r="O31" t="b">
        <v>1</v>
      </c>
      <c r="P31">
        <v>0.4</v>
      </c>
    </row>
    <row r="32" spans="1:18" x14ac:dyDescent="0.2">
      <c r="A32" t="s">
        <v>53</v>
      </c>
      <c r="B32" t="s">
        <v>54</v>
      </c>
      <c r="C32" t="s">
        <v>65</v>
      </c>
      <c r="D32" t="s">
        <v>66</v>
      </c>
      <c r="E32">
        <v>1642.5</v>
      </c>
      <c r="F32">
        <v>4.5</v>
      </c>
      <c r="G32">
        <v>2.1794494719999999</v>
      </c>
      <c r="H32" t="b">
        <v>0</v>
      </c>
      <c r="I32">
        <v>19</v>
      </c>
      <c r="J32" t="s">
        <v>23</v>
      </c>
      <c r="K32" t="b">
        <v>0</v>
      </c>
      <c r="L32" t="s">
        <v>35</v>
      </c>
      <c r="M32" t="s">
        <v>55</v>
      </c>
      <c r="N32" t="s">
        <v>56</v>
      </c>
      <c r="O32" t="b">
        <v>1</v>
      </c>
      <c r="P32">
        <v>0.5</v>
      </c>
    </row>
    <row r="33" spans="1:16" x14ac:dyDescent="0.2">
      <c r="A33" t="s">
        <v>53</v>
      </c>
      <c r="B33" t="s">
        <v>54</v>
      </c>
      <c r="C33" t="s">
        <v>25</v>
      </c>
      <c r="D33" t="s">
        <v>26</v>
      </c>
      <c r="E33">
        <v>839.5</v>
      </c>
      <c r="F33">
        <v>2.2999999999999998</v>
      </c>
      <c r="G33">
        <v>1.788854382</v>
      </c>
      <c r="H33" t="b">
        <v>0</v>
      </c>
      <c r="I33">
        <v>20</v>
      </c>
      <c r="J33" t="s">
        <v>23</v>
      </c>
      <c r="K33" t="b">
        <v>0</v>
      </c>
      <c r="L33" t="s">
        <v>35</v>
      </c>
      <c r="M33" t="s">
        <v>55</v>
      </c>
      <c r="N33" t="s">
        <v>56</v>
      </c>
      <c r="O33" t="b">
        <v>1</v>
      </c>
      <c r="P33">
        <v>0.4</v>
      </c>
    </row>
    <row r="34" spans="1:16" x14ac:dyDescent="0.2">
      <c r="A34" t="s">
        <v>53</v>
      </c>
      <c r="B34" t="s">
        <v>54</v>
      </c>
      <c r="C34" t="s">
        <v>67</v>
      </c>
      <c r="D34" t="s">
        <v>58</v>
      </c>
      <c r="E34">
        <v>511</v>
      </c>
      <c r="F34">
        <v>1.4</v>
      </c>
      <c r="G34">
        <v>1.549193338</v>
      </c>
      <c r="H34" t="b">
        <v>0</v>
      </c>
      <c r="I34">
        <v>15</v>
      </c>
      <c r="J34" t="s">
        <v>23</v>
      </c>
      <c r="K34" t="b">
        <v>0</v>
      </c>
      <c r="L34" t="s">
        <v>35</v>
      </c>
      <c r="M34" t="s">
        <v>55</v>
      </c>
      <c r="N34" t="s">
        <v>56</v>
      </c>
      <c r="O34" t="b">
        <v>1</v>
      </c>
      <c r="P34">
        <v>0.4</v>
      </c>
    </row>
    <row r="35" spans="1:16" x14ac:dyDescent="0.2">
      <c r="A35" t="s">
        <v>53</v>
      </c>
      <c r="B35" t="s">
        <v>54</v>
      </c>
      <c r="C35" t="s">
        <v>68</v>
      </c>
      <c r="D35" t="s">
        <v>69</v>
      </c>
      <c r="E35">
        <v>233.6</v>
      </c>
      <c r="F35">
        <v>0.64</v>
      </c>
      <c r="G35">
        <v>0.34641016200000002</v>
      </c>
      <c r="H35" t="b">
        <v>0</v>
      </c>
      <c r="I35">
        <v>12</v>
      </c>
      <c r="J35" t="s">
        <v>23</v>
      </c>
      <c r="K35" t="b">
        <v>0</v>
      </c>
      <c r="L35" t="s">
        <v>35</v>
      </c>
      <c r="M35" t="s">
        <v>55</v>
      </c>
      <c r="N35" t="s">
        <v>56</v>
      </c>
      <c r="O35" t="b">
        <v>1</v>
      </c>
      <c r="P35">
        <v>0.1</v>
      </c>
    </row>
    <row r="36" spans="1:16" x14ac:dyDescent="0.2">
      <c r="A36" t="s">
        <v>53</v>
      </c>
      <c r="B36" t="s">
        <v>54</v>
      </c>
      <c r="C36" t="s">
        <v>70</v>
      </c>
      <c r="D36" t="s">
        <v>71</v>
      </c>
      <c r="E36">
        <v>193.45</v>
      </c>
      <c r="F36">
        <v>0.53</v>
      </c>
      <c r="G36">
        <v>0.34641016200000002</v>
      </c>
      <c r="H36" t="b">
        <v>0</v>
      </c>
      <c r="I36">
        <v>12</v>
      </c>
      <c r="J36" t="s">
        <v>23</v>
      </c>
      <c r="K36" t="b">
        <v>0</v>
      </c>
      <c r="L36" t="s">
        <v>35</v>
      </c>
      <c r="M36" t="s">
        <v>55</v>
      </c>
      <c r="N36" t="s">
        <v>56</v>
      </c>
      <c r="O36" t="b">
        <v>1</v>
      </c>
      <c r="P36">
        <v>0.1</v>
      </c>
    </row>
    <row r="37" spans="1:16" x14ac:dyDescent="0.2">
      <c r="A37" t="s">
        <v>53</v>
      </c>
      <c r="B37" t="s">
        <v>54</v>
      </c>
      <c r="C37" t="s">
        <v>21</v>
      </c>
      <c r="D37" t="s">
        <v>22</v>
      </c>
      <c r="E37">
        <v>12775</v>
      </c>
      <c r="F37">
        <v>35</v>
      </c>
      <c r="G37">
        <v>31.2</v>
      </c>
      <c r="H37" t="b">
        <v>0</v>
      </c>
      <c r="I37">
        <v>64</v>
      </c>
      <c r="J37" t="s">
        <v>23</v>
      </c>
      <c r="K37" t="b">
        <v>0</v>
      </c>
      <c r="L37" t="s">
        <v>35</v>
      </c>
      <c r="M37" t="s">
        <v>36</v>
      </c>
      <c r="N37" t="s">
        <v>72</v>
      </c>
      <c r="O37" t="b">
        <v>1</v>
      </c>
      <c r="P37">
        <v>3.9</v>
      </c>
    </row>
    <row r="38" spans="1:16" x14ac:dyDescent="0.2">
      <c r="A38" t="s">
        <v>53</v>
      </c>
      <c r="B38" t="s">
        <v>54</v>
      </c>
      <c r="C38" t="s">
        <v>27</v>
      </c>
      <c r="D38" t="s">
        <v>28</v>
      </c>
      <c r="E38">
        <v>12410</v>
      </c>
      <c r="F38">
        <v>34</v>
      </c>
      <c r="G38">
        <v>34.933365139999999</v>
      </c>
      <c r="H38" t="b">
        <v>0</v>
      </c>
      <c r="I38">
        <v>66</v>
      </c>
      <c r="J38" t="s">
        <v>23</v>
      </c>
      <c r="K38" t="b">
        <v>0</v>
      </c>
      <c r="L38" t="s">
        <v>35</v>
      </c>
      <c r="M38" t="s">
        <v>36</v>
      </c>
      <c r="N38" t="s">
        <v>72</v>
      </c>
      <c r="O38" t="b">
        <v>1</v>
      </c>
      <c r="P38">
        <v>4.3</v>
      </c>
    </row>
    <row r="39" spans="1:16" x14ac:dyDescent="0.2">
      <c r="A39" t="s">
        <v>53</v>
      </c>
      <c r="B39" t="s">
        <v>54</v>
      </c>
      <c r="C39" t="s">
        <v>57</v>
      </c>
      <c r="D39" t="s">
        <v>58</v>
      </c>
      <c r="E39">
        <v>8760</v>
      </c>
      <c r="F39">
        <v>24</v>
      </c>
      <c r="G39">
        <v>22.74730753</v>
      </c>
      <c r="H39" t="b">
        <v>0</v>
      </c>
      <c r="I39">
        <v>66</v>
      </c>
      <c r="J39" t="s">
        <v>23</v>
      </c>
      <c r="K39" t="b">
        <v>0</v>
      </c>
      <c r="L39" t="s">
        <v>35</v>
      </c>
      <c r="M39" t="s">
        <v>36</v>
      </c>
      <c r="N39" t="s">
        <v>72</v>
      </c>
      <c r="O39" t="b">
        <v>1</v>
      </c>
      <c r="P39">
        <v>2.8</v>
      </c>
    </row>
    <row r="40" spans="1:16" x14ac:dyDescent="0.2">
      <c r="A40" t="s">
        <v>53</v>
      </c>
      <c r="B40" t="s">
        <v>54</v>
      </c>
      <c r="C40" t="s">
        <v>41</v>
      </c>
      <c r="D40" t="s">
        <v>42</v>
      </c>
      <c r="E40">
        <v>32850</v>
      </c>
      <c r="F40">
        <v>90</v>
      </c>
      <c r="G40">
        <v>80.081208779999997</v>
      </c>
      <c r="H40" t="b">
        <v>0</v>
      </c>
      <c r="I40">
        <v>53</v>
      </c>
      <c r="J40" t="s">
        <v>23</v>
      </c>
      <c r="K40" t="b">
        <v>0</v>
      </c>
      <c r="L40" t="s">
        <v>35</v>
      </c>
      <c r="M40" t="s">
        <v>36</v>
      </c>
      <c r="N40" t="s">
        <v>72</v>
      </c>
      <c r="O40" t="b">
        <v>1</v>
      </c>
      <c r="P40">
        <v>11</v>
      </c>
    </row>
    <row r="41" spans="1:16" x14ac:dyDescent="0.2">
      <c r="A41" t="s">
        <v>53</v>
      </c>
      <c r="B41" t="s">
        <v>54</v>
      </c>
      <c r="C41" t="s">
        <v>45</v>
      </c>
      <c r="D41" t="s">
        <v>46</v>
      </c>
      <c r="E41">
        <v>9855</v>
      </c>
      <c r="F41">
        <v>27</v>
      </c>
      <c r="G41">
        <v>27.2</v>
      </c>
      <c r="H41" t="b">
        <v>0</v>
      </c>
      <c r="I41">
        <v>64</v>
      </c>
      <c r="J41" t="s">
        <v>23</v>
      </c>
      <c r="K41" t="b">
        <v>0</v>
      </c>
      <c r="L41" t="s">
        <v>35</v>
      </c>
      <c r="M41" t="s">
        <v>36</v>
      </c>
      <c r="N41" t="s">
        <v>72</v>
      </c>
      <c r="O41" t="b">
        <v>1</v>
      </c>
      <c r="P41">
        <v>3.4</v>
      </c>
    </row>
    <row r="42" spans="1:16" x14ac:dyDescent="0.2">
      <c r="A42" t="s">
        <v>53</v>
      </c>
      <c r="B42" t="s">
        <v>54</v>
      </c>
      <c r="C42" t="s">
        <v>43</v>
      </c>
      <c r="D42" t="s">
        <v>44</v>
      </c>
      <c r="E42">
        <v>7665</v>
      </c>
      <c r="F42">
        <v>21</v>
      </c>
      <c r="G42">
        <v>21.122499850000001</v>
      </c>
      <c r="H42" t="b">
        <v>0</v>
      </c>
      <c r="I42">
        <v>66</v>
      </c>
      <c r="J42" t="s">
        <v>23</v>
      </c>
      <c r="K42" t="b">
        <v>0</v>
      </c>
      <c r="L42" t="s">
        <v>35</v>
      </c>
      <c r="M42" t="s">
        <v>36</v>
      </c>
      <c r="N42" t="s">
        <v>72</v>
      </c>
      <c r="O42" t="b">
        <v>1</v>
      </c>
      <c r="P42">
        <v>2.6</v>
      </c>
    </row>
    <row r="43" spans="1:16" x14ac:dyDescent="0.2">
      <c r="A43" t="s">
        <v>53</v>
      </c>
      <c r="B43" t="s">
        <v>54</v>
      </c>
      <c r="C43" t="s">
        <v>47</v>
      </c>
      <c r="D43" t="s">
        <v>48</v>
      </c>
      <c r="E43">
        <v>7665</v>
      </c>
      <c r="F43">
        <v>21</v>
      </c>
      <c r="G43">
        <v>0.81240383999999999</v>
      </c>
      <c r="H43" t="b">
        <v>0</v>
      </c>
      <c r="I43">
        <v>66</v>
      </c>
      <c r="J43" t="s">
        <v>23</v>
      </c>
      <c r="K43" t="b">
        <v>0</v>
      </c>
      <c r="L43" t="s">
        <v>35</v>
      </c>
      <c r="M43" t="s">
        <v>36</v>
      </c>
      <c r="N43" t="s">
        <v>72</v>
      </c>
      <c r="O43" t="b">
        <v>1</v>
      </c>
      <c r="P43">
        <v>0.1</v>
      </c>
    </row>
    <row r="44" spans="1:16" x14ac:dyDescent="0.2">
      <c r="A44" t="s">
        <v>53</v>
      </c>
      <c r="B44" t="s">
        <v>54</v>
      </c>
      <c r="C44" t="s">
        <v>59</v>
      </c>
      <c r="D44" t="s">
        <v>60</v>
      </c>
      <c r="E44">
        <v>438</v>
      </c>
      <c r="F44">
        <v>1.2</v>
      </c>
      <c r="G44">
        <v>1.1135528729999999</v>
      </c>
      <c r="H44" t="b">
        <v>0</v>
      </c>
      <c r="I44">
        <v>31</v>
      </c>
      <c r="J44" t="s">
        <v>23</v>
      </c>
      <c r="K44" t="b">
        <v>0</v>
      </c>
      <c r="L44" t="s">
        <v>35</v>
      </c>
      <c r="M44" t="s">
        <v>36</v>
      </c>
      <c r="N44" t="s">
        <v>72</v>
      </c>
      <c r="O44" t="b">
        <v>1</v>
      </c>
      <c r="P44">
        <v>0.2</v>
      </c>
    </row>
    <row r="45" spans="1:16" x14ac:dyDescent="0.2">
      <c r="A45" t="s">
        <v>53</v>
      </c>
      <c r="B45" t="s">
        <v>54</v>
      </c>
      <c r="C45" t="s">
        <v>61</v>
      </c>
      <c r="D45" t="s">
        <v>62</v>
      </c>
      <c r="E45">
        <v>1569.5</v>
      </c>
      <c r="F45">
        <v>4.3</v>
      </c>
      <c r="G45">
        <v>3.5355339059999999</v>
      </c>
      <c r="H45" t="b">
        <v>0</v>
      </c>
      <c r="I45">
        <v>50</v>
      </c>
      <c r="J45" t="s">
        <v>23</v>
      </c>
      <c r="K45" t="b">
        <v>0</v>
      </c>
      <c r="L45" t="s">
        <v>35</v>
      </c>
      <c r="M45" t="s">
        <v>36</v>
      </c>
      <c r="N45" t="s">
        <v>72</v>
      </c>
      <c r="O45" t="b">
        <v>1</v>
      </c>
      <c r="P45">
        <v>0.5</v>
      </c>
    </row>
    <row r="46" spans="1:16" x14ac:dyDescent="0.2">
      <c r="A46" t="s">
        <v>53</v>
      </c>
      <c r="B46" t="s">
        <v>54</v>
      </c>
      <c r="C46" t="s">
        <v>63</v>
      </c>
      <c r="D46" t="s">
        <v>64</v>
      </c>
      <c r="E46">
        <v>4380</v>
      </c>
      <c r="F46">
        <v>12</v>
      </c>
      <c r="G46">
        <v>11.61895004</v>
      </c>
      <c r="H46" t="b">
        <v>0</v>
      </c>
      <c r="I46">
        <v>60</v>
      </c>
      <c r="J46" t="s">
        <v>23</v>
      </c>
      <c r="K46" t="b">
        <v>0</v>
      </c>
      <c r="L46" t="s">
        <v>35</v>
      </c>
      <c r="M46" t="s">
        <v>36</v>
      </c>
      <c r="N46" t="s">
        <v>72</v>
      </c>
      <c r="O46" t="b">
        <v>1</v>
      </c>
      <c r="P46">
        <v>1.5</v>
      </c>
    </row>
    <row r="47" spans="1:16" x14ac:dyDescent="0.2">
      <c r="A47" t="s">
        <v>53</v>
      </c>
      <c r="B47" t="s">
        <v>54</v>
      </c>
      <c r="C47" t="s">
        <v>65</v>
      </c>
      <c r="D47" t="s">
        <v>66</v>
      </c>
      <c r="E47">
        <v>4380</v>
      </c>
      <c r="F47">
        <v>12</v>
      </c>
      <c r="G47">
        <v>15.87450787</v>
      </c>
      <c r="H47" t="b">
        <v>0</v>
      </c>
      <c r="I47">
        <v>63</v>
      </c>
      <c r="J47" t="s">
        <v>23</v>
      </c>
      <c r="K47" t="b">
        <v>0</v>
      </c>
      <c r="L47" t="s">
        <v>35</v>
      </c>
      <c r="M47" t="s">
        <v>36</v>
      </c>
      <c r="N47" t="s">
        <v>72</v>
      </c>
      <c r="O47" t="b">
        <v>1</v>
      </c>
      <c r="P47">
        <v>2</v>
      </c>
    </row>
    <row r="48" spans="1:16" x14ac:dyDescent="0.2">
      <c r="A48" t="s">
        <v>53</v>
      </c>
      <c r="B48" t="s">
        <v>54</v>
      </c>
      <c r="C48" t="s">
        <v>25</v>
      </c>
      <c r="D48" t="s">
        <v>26</v>
      </c>
      <c r="E48">
        <v>1022</v>
      </c>
      <c r="F48">
        <v>2.8</v>
      </c>
      <c r="G48">
        <v>3.2496153620000001</v>
      </c>
      <c r="H48" t="b">
        <v>0</v>
      </c>
      <c r="I48">
        <v>66</v>
      </c>
      <c r="J48" t="s">
        <v>23</v>
      </c>
      <c r="K48" t="b">
        <v>0</v>
      </c>
      <c r="L48" t="s">
        <v>35</v>
      </c>
      <c r="M48" t="s">
        <v>36</v>
      </c>
      <c r="N48" t="s">
        <v>72</v>
      </c>
      <c r="O48" t="b">
        <v>1</v>
      </c>
      <c r="P48">
        <v>0.4</v>
      </c>
    </row>
    <row r="49" spans="1:19" x14ac:dyDescent="0.2">
      <c r="A49" t="s">
        <v>53</v>
      </c>
      <c r="B49" t="s">
        <v>54</v>
      </c>
      <c r="C49" t="s">
        <v>67</v>
      </c>
      <c r="D49" t="s">
        <v>58</v>
      </c>
      <c r="E49">
        <v>912.5</v>
      </c>
      <c r="F49">
        <v>2.5</v>
      </c>
      <c r="G49">
        <v>2.7422618399999998</v>
      </c>
      <c r="H49" t="b">
        <v>0</v>
      </c>
      <c r="I49">
        <v>47</v>
      </c>
      <c r="J49" t="s">
        <v>23</v>
      </c>
      <c r="K49" t="b">
        <v>0</v>
      </c>
      <c r="L49" t="s">
        <v>35</v>
      </c>
      <c r="M49" t="s">
        <v>36</v>
      </c>
      <c r="N49" t="s">
        <v>72</v>
      </c>
      <c r="O49" t="b">
        <v>1</v>
      </c>
      <c r="P49">
        <v>0.4</v>
      </c>
    </row>
    <row r="50" spans="1:19" x14ac:dyDescent="0.2">
      <c r="A50" t="s">
        <v>53</v>
      </c>
      <c r="B50" t="s">
        <v>54</v>
      </c>
      <c r="C50" t="s">
        <v>68</v>
      </c>
      <c r="D50" t="s">
        <v>69</v>
      </c>
      <c r="E50">
        <v>511</v>
      </c>
      <c r="F50">
        <v>1.4</v>
      </c>
      <c r="G50">
        <v>4.2</v>
      </c>
      <c r="H50" t="b">
        <v>0</v>
      </c>
      <c r="I50">
        <v>49</v>
      </c>
      <c r="J50" t="s">
        <v>23</v>
      </c>
      <c r="K50" t="b">
        <v>0</v>
      </c>
      <c r="L50" t="s">
        <v>35</v>
      </c>
      <c r="M50" t="s">
        <v>36</v>
      </c>
      <c r="N50" t="s">
        <v>72</v>
      </c>
      <c r="O50" t="b">
        <v>1</v>
      </c>
      <c r="P50">
        <v>0.6</v>
      </c>
    </row>
    <row r="51" spans="1:19" x14ac:dyDescent="0.2">
      <c r="A51" t="s">
        <v>53</v>
      </c>
      <c r="B51" t="s">
        <v>54</v>
      </c>
      <c r="C51" t="s">
        <v>70</v>
      </c>
      <c r="D51" t="s">
        <v>71</v>
      </c>
      <c r="E51">
        <v>474.5</v>
      </c>
      <c r="F51">
        <v>1.3</v>
      </c>
      <c r="G51">
        <v>2.078460969</v>
      </c>
      <c r="H51" t="b">
        <v>0</v>
      </c>
      <c r="I51">
        <v>48</v>
      </c>
      <c r="J51" t="s">
        <v>23</v>
      </c>
      <c r="K51" t="b">
        <v>0</v>
      </c>
      <c r="L51" t="s">
        <v>35</v>
      </c>
      <c r="M51" t="s">
        <v>36</v>
      </c>
      <c r="N51" t="s">
        <v>72</v>
      </c>
      <c r="O51" t="b">
        <v>1</v>
      </c>
      <c r="P51">
        <v>0.3</v>
      </c>
    </row>
    <row r="52" spans="1:19" x14ac:dyDescent="0.2">
      <c r="A52" t="s">
        <v>73</v>
      </c>
      <c r="B52" t="s">
        <v>74</v>
      </c>
      <c r="C52" t="s">
        <v>75</v>
      </c>
      <c r="D52" t="s">
        <v>76</v>
      </c>
      <c r="E52">
        <v>127</v>
      </c>
      <c r="F52">
        <v>0.34794520499999998</v>
      </c>
      <c r="G52">
        <v>0.72785866899999996</v>
      </c>
      <c r="H52" t="b">
        <v>0</v>
      </c>
      <c r="I52">
        <v>44</v>
      </c>
      <c r="J52" t="s">
        <v>34</v>
      </c>
      <c r="K52" t="b">
        <v>0</v>
      </c>
      <c r="L52" t="s">
        <v>35</v>
      </c>
      <c r="M52" t="s">
        <v>36</v>
      </c>
      <c r="O52" t="b">
        <v>1</v>
      </c>
      <c r="P52">
        <f>G52/SQRT(I52)</f>
        <v>0.1097288229763857</v>
      </c>
      <c r="Q52">
        <v>0.23561643800000001</v>
      </c>
      <c r="R52">
        <v>0.66575342500000001</v>
      </c>
      <c r="S52" t="s">
        <v>77</v>
      </c>
    </row>
    <row r="53" spans="1:19" x14ac:dyDescent="0.2">
      <c r="A53" t="s">
        <v>73</v>
      </c>
      <c r="B53" t="s">
        <v>74</v>
      </c>
      <c r="C53" t="s">
        <v>78</v>
      </c>
      <c r="D53" t="s">
        <v>79</v>
      </c>
      <c r="E53">
        <v>296</v>
      </c>
      <c r="F53">
        <v>0.81095890400000004</v>
      </c>
      <c r="G53">
        <v>3.4677597750000002</v>
      </c>
      <c r="H53" t="b">
        <v>0</v>
      </c>
      <c r="I53">
        <v>44</v>
      </c>
      <c r="J53" t="s">
        <v>34</v>
      </c>
      <c r="K53" t="b">
        <v>0</v>
      </c>
      <c r="L53" t="s">
        <v>35</v>
      </c>
      <c r="M53" t="s">
        <v>36</v>
      </c>
      <c r="O53" t="b">
        <v>1</v>
      </c>
      <c r="P53">
        <f t="shared" ref="P53:P68" si="1">G53/SQRT(I53)</f>
        <v>0.52278445621646652</v>
      </c>
      <c r="Q53">
        <v>0.48219178099999999</v>
      </c>
      <c r="R53">
        <v>2.5315068489999999</v>
      </c>
      <c r="S53" t="s">
        <v>77</v>
      </c>
    </row>
    <row r="54" spans="1:19" x14ac:dyDescent="0.2">
      <c r="A54" t="s">
        <v>73</v>
      </c>
      <c r="B54" t="s">
        <v>74</v>
      </c>
      <c r="C54" t="s">
        <v>80</v>
      </c>
      <c r="D54" t="s">
        <v>81</v>
      </c>
      <c r="E54">
        <v>379</v>
      </c>
      <c r="F54">
        <v>1.0383561640000001</v>
      </c>
      <c r="G54">
        <v>17.018911939999999</v>
      </c>
      <c r="H54" t="b">
        <v>0</v>
      </c>
      <c r="I54">
        <v>44</v>
      </c>
      <c r="J54" t="s">
        <v>34</v>
      </c>
      <c r="K54" t="b">
        <v>0</v>
      </c>
      <c r="L54" t="s">
        <v>35</v>
      </c>
      <c r="M54" t="s">
        <v>36</v>
      </c>
      <c r="O54" t="b">
        <v>1</v>
      </c>
      <c r="P54">
        <f t="shared" si="1"/>
        <v>2.5656975111399776</v>
      </c>
      <c r="Q54">
        <v>0.54520547900000005</v>
      </c>
      <c r="R54">
        <v>10.60273973</v>
      </c>
      <c r="S54" t="s">
        <v>77</v>
      </c>
    </row>
    <row r="55" spans="1:19" x14ac:dyDescent="0.2">
      <c r="A55" t="s">
        <v>82</v>
      </c>
      <c r="B55" t="s">
        <v>83</v>
      </c>
      <c r="C55" t="s">
        <v>27</v>
      </c>
      <c r="D55" t="s">
        <v>28</v>
      </c>
      <c r="E55">
        <v>1496.5</v>
      </c>
      <c r="F55">
        <v>4.0999999999999996</v>
      </c>
      <c r="G55">
        <v>1.4</v>
      </c>
      <c r="H55" t="b">
        <v>0</v>
      </c>
      <c r="I55">
        <v>88</v>
      </c>
      <c r="J55" t="s">
        <v>23</v>
      </c>
      <c r="K55" t="b">
        <v>1</v>
      </c>
      <c r="L55" t="s">
        <v>35</v>
      </c>
      <c r="M55" t="s">
        <v>84</v>
      </c>
      <c r="O55" t="b">
        <v>1</v>
      </c>
      <c r="P55">
        <f t="shared" si="1"/>
        <v>0.14924050144892728</v>
      </c>
    </row>
    <row r="56" spans="1:19" x14ac:dyDescent="0.2">
      <c r="A56" t="s">
        <v>82</v>
      </c>
      <c r="B56" t="s">
        <v>83</v>
      </c>
      <c r="C56" t="s">
        <v>41</v>
      </c>
      <c r="D56" t="s">
        <v>42</v>
      </c>
      <c r="E56">
        <v>4526</v>
      </c>
      <c r="F56">
        <v>12.4</v>
      </c>
      <c r="G56">
        <v>5</v>
      </c>
      <c r="H56" t="b">
        <v>0</v>
      </c>
      <c r="I56">
        <v>81</v>
      </c>
      <c r="J56" t="s">
        <v>23</v>
      </c>
      <c r="K56" t="b">
        <v>1</v>
      </c>
      <c r="L56" t="s">
        <v>35</v>
      </c>
      <c r="M56" t="s">
        <v>84</v>
      </c>
      <c r="O56" t="b">
        <v>1</v>
      </c>
      <c r="P56">
        <f t="shared" si="1"/>
        <v>0.55555555555555558</v>
      </c>
    </row>
    <row r="57" spans="1:19" x14ac:dyDescent="0.2">
      <c r="A57" t="s">
        <v>82</v>
      </c>
      <c r="B57" t="s">
        <v>83</v>
      </c>
      <c r="C57" t="s">
        <v>43</v>
      </c>
      <c r="D57" t="s">
        <v>44</v>
      </c>
      <c r="E57">
        <v>2847</v>
      </c>
      <c r="F57">
        <v>7.8</v>
      </c>
      <c r="G57">
        <v>2.8</v>
      </c>
      <c r="H57" t="b">
        <v>0</v>
      </c>
      <c r="I57">
        <v>79</v>
      </c>
      <c r="J57" t="s">
        <v>23</v>
      </c>
      <c r="K57" t="b">
        <v>1</v>
      </c>
      <c r="L57" t="s">
        <v>35</v>
      </c>
      <c r="M57" t="s">
        <v>84</v>
      </c>
      <c r="O57" t="b">
        <v>1</v>
      </c>
      <c r="P57">
        <f t="shared" si="1"/>
        <v>0.31502461225928668</v>
      </c>
    </row>
    <row r="58" spans="1:19" x14ac:dyDescent="0.2">
      <c r="A58" t="s">
        <v>82</v>
      </c>
      <c r="B58" t="s">
        <v>83</v>
      </c>
      <c r="C58" t="s">
        <v>45</v>
      </c>
      <c r="D58" t="s">
        <v>46</v>
      </c>
      <c r="E58">
        <v>2847</v>
      </c>
      <c r="F58">
        <v>7.8</v>
      </c>
      <c r="G58">
        <v>2.8</v>
      </c>
      <c r="H58" t="b">
        <v>0</v>
      </c>
      <c r="I58">
        <v>79</v>
      </c>
      <c r="J58" t="s">
        <v>23</v>
      </c>
      <c r="K58" t="b">
        <v>1</v>
      </c>
      <c r="L58" t="s">
        <v>35</v>
      </c>
      <c r="M58" t="s">
        <v>84</v>
      </c>
      <c r="O58" t="b">
        <v>1</v>
      </c>
      <c r="P58">
        <f t="shared" si="1"/>
        <v>0.31502461225928668</v>
      </c>
    </row>
    <row r="59" spans="1:19" x14ac:dyDescent="0.2">
      <c r="A59" t="s">
        <v>82</v>
      </c>
      <c r="B59" t="s">
        <v>83</v>
      </c>
      <c r="C59" t="s">
        <v>47</v>
      </c>
      <c r="D59" t="s">
        <v>48</v>
      </c>
      <c r="E59">
        <v>2847</v>
      </c>
      <c r="F59">
        <v>7.8</v>
      </c>
      <c r="G59">
        <v>2.8</v>
      </c>
      <c r="H59" t="b">
        <v>0</v>
      </c>
      <c r="I59">
        <v>79</v>
      </c>
      <c r="J59" t="s">
        <v>23</v>
      </c>
      <c r="K59" t="b">
        <v>1</v>
      </c>
      <c r="L59" t="s">
        <v>35</v>
      </c>
      <c r="M59" t="s">
        <v>84</v>
      </c>
      <c r="O59" t="b">
        <v>1</v>
      </c>
      <c r="P59">
        <f t="shared" si="1"/>
        <v>0.31502461225928668</v>
      </c>
    </row>
    <row r="60" spans="1:19" x14ac:dyDescent="0.2">
      <c r="A60" t="s">
        <v>82</v>
      </c>
      <c r="B60" t="s">
        <v>83</v>
      </c>
      <c r="C60" t="s">
        <v>85</v>
      </c>
      <c r="D60" t="s">
        <v>86</v>
      </c>
      <c r="E60">
        <v>1861.5</v>
      </c>
      <c r="F60">
        <v>5.0999999999999996</v>
      </c>
      <c r="G60">
        <v>1.8</v>
      </c>
      <c r="H60" t="b">
        <v>0</v>
      </c>
      <c r="I60">
        <v>66</v>
      </c>
      <c r="J60" t="s">
        <v>23</v>
      </c>
      <c r="K60" t="b">
        <v>1</v>
      </c>
      <c r="L60" t="s">
        <v>35</v>
      </c>
      <c r="M60" t="s">
        <v>84</v>
      </c>
      <c r="O60" t="b">
        <v>1</v>
      </c>
      <c r="P60">
        <f t="shared" si="1"/>
        <v>0.22156468376279892</v>
      </c>
    </row>
    <row r="61" spans="1:19" x14ac:dyDescent="0.2">
      <c r="A61" t="s">
        <v>82</v>
      </c>
      <c r="B61" t="s">
        <v>83</v>
      </c>
      <c r="C61" t="s">
        <v>87</v>
      </c>
      <c r="D61" t="s">
        <v>88</v>
      </c>
      <c r="E61">
        <v>1898</v>
      </c>
      <c r="F61">
        <v>5.2</v>
      </c>
      <c r="G61">
        <v>1</v>
      </c>
      <c r="H61" t="b">
        <v>0</v>
      </c>
      <c r="I61">
        <v>75</v>
      </c>
      <c r="J61" t="s">
        <v>23</v>
      </c>
      <c r="K61" t="b">
        <v>1</v>
      </c>
      <c r="L61" t="s">
        <v>35</v>
      </c>
      <c r="M61" t="s">
        <v>84</v>
      </c>
      <c r="O61" t="b">
        <v>1</v>
      </c>
      <c r="P61">
        <f t="shared" si="1"/>
        <v>0.11547005383792514</v>
      </c>
    </row>
    <row r="62" spans="1:19" x14ac:dyDescent="0.2">
      <c r="A62" t="s">
        <v>89</v>
      </c>
      <c r="B62" t="s">
        <v>90</v>
      </c>
      <c r="C62" t="s">
        <v>25</v>
      </c>
      <c r="D62" t="s">
        <v>26</v>
      </c>
      <c r="E62">
        <v>730</v>
      </c>
      <c r="F62">
        <v>2</v>
      </c>
      <c r="G62">
        <v>1.3855587359999999</v>
      </c>
      <c r="H62" t="b">
        <v>0</v>
      </c>
      <c r="I62">
        <v>118</v>
      </c>
      <c r="J62" t="s">
        <v>23</v>
      </c>
      <c r="K62" t="b">
        <v>1</v>
      </c>
      <c r="L62" t="s">
        <v>35</v>
      </c>
      <c r="M62" t="s">
        <v>84</v>
      </c>
      <c r="O62" t="b">
        <v>1</v>
      </c>
      <c r="P62">
        <f t="shared" si="1"/>
        <v>0.12755102039688837</v>
      </c>
      <c r="Q62">
        <v>1.7</v>
      </c>
      <c r="R62">
        <v>2.2000000000000002</v>
      </c>
    </row>
    <row r="63" spans="1:19" x14ac:dyDescent="0.2">
      <c r="A63" t="s">
        <v>89</v>
      </c>
      <c r="B63" t="s">
        <v>90</v>
      </c>
      <c r="C63" t="s">
        <v>21</v>
      </c>
      <c r="D63" t="s">
        <v>22</v>
      </c>
      <c r="E63">
        <v>2190</v>
      </c>
      <c r="F63">
        <v>6</v>
      </c>
      <c r="G63">
        <v>2.6876667740000002</v>
      </c>
      <c r="H63" t="b">
        <v>0</v>
      </c>
      <c r="I63">
        <v>111</v>
      </c>
      <c r="J63" t="s">
        <v>23</v>
      </c>
      <c r="K63" t="b">
        <v>1</v>
      </c>
      <c r="L63" t="s">
        <v>35</v>
      </c>
      <c r="M63" t="s">
        <v>84</v>
      </c>
      <c r="O63" t="b">
        <v>1</v>
      </c>
      <c r="P63">
        <f t="shared" si="1"/>
        <v>0.25510204084604249</v>
      </c>
      <c r="Q63">
        <v>5.5</v>
      </c>
      <c r="R63">
        <v>6.5</v>
      </c>
    </row>
    <row r="64" spans="1:19" x14ac:dyDescent="0.2">
      <c r="A64" t="s">
        <v>89</v>
      </c>
      <c r="B64" t="s">
        <v>90</v>
      </c>
      <c r="C64" t="s">
        <v>39</v>
      </c>
      <c r="D64" t="s">
        <v>40</v>
      </c>
      <c r="E64">
        <v>2044</v>
      </c>
      <c r="F64">
        <v>5.6</v>
      </c>
      <c r="G64">
        <v>2.5045512510000001</v>
      </c>
      <c r="H64" t="b">
        <v>0</v>
      </c>
      <c r="I64">
        <v>119</v>
      </c>
      <c r="J64" t="s">
        <v>23</v>
      </c>
      <c r="K64" t="b">
        <v>1</v>
      </c>
      <c r="L64" t="s">
        <v>35</v>
      </c>
      <c r="M64" t="s">
        <v>84</v>
      </c>
      <c r="O64" t="b">
        <v>1</v>
      </c>
      <c r="P64">
        <f t="shared" si="1"/>
        <v>0.22959183675218267</v>
      </c>
      <c r="Q64">
        <v>5.0999999999999996</v>
      </c>
      <c r="R64">
        <v>6</v>
      </c>
    </row>
    <row r="65" spans="1:19" x14ac:dyDescent="0.2">
      <c r="A65" t="s">
        <v>89</v>
      </c>
      <c r="B65" t="s">
        <v>90</v>
      </c>
      <c r="C65" t="s">
        <v>27</v>
      </c>
      <c r="D65" t="s">
        <v>28</v>
      </c>
      <c r="E65">
        <v>2080.5</v>
      </c>
      <c r="F65">
        <v>5.7</v>
      </c>
      <c r="G65">
        <v>2.8292184969999998</v>
      </c>
      <c r="H65" t="b">
        <v>0</v>
      </c>
      <c r="I65">
        <v>123</v>
      </c>
      <c r="J65" t="s">
        <v>23</v>
      </c>
      <c r="K65" t="b">
        <v>1</v>
      </c>
      <c r="L65" t="s">
        <v>35</v>
      </c>
      <c r="M65" t="s">
        <v>84</v>
      </c>
      <c r="O65" t="b">
        <v>1</v>
      </c>
      <c r="P65">
        <f t="shared" si="1"/>
        <v>0.25510204085843319</v>
      </c>
      <c r="Q65">
        <v>5.2</v>
      </c>
      <c r="R65">
        <v>6.2</v>
      </c>
    </row>
    <row r="66" spans="1:19" x14ac:dyDescent="0.2">
      <c r="A66" t="s">
        <v>91</v>
      </c>
      <c r="B66" t="s">
        <v>92</v>
      </c>
      <c r="C66" t="s">
        <v>25</v>
      </c>
      <c r="D66" t="s">
        <v>26</v>
      </c>
      <c r="E66">
        <v>861.4</v>
      </c>
      <c r="F66">
        <v>2.36</v>
      </c>
      <c r="G66">
        <v>1.356320239</v>
      </c>
      <c r="H66" t="b">
        <v>0</v>
      </c>
      <c r="I66">
        <v>5769</v>
      </c>
      <c r="J66" t="s">
        <v>34</v>
      </c>
      <c r="K66" t="b">
        <v>0</v>
      </c>
      <c r="L66" t="s">
        <v>35</v>
      </c>
      <c r="M66" t="s">
        <v>36</v>
      </c>
      <c r="O66" t="b">
        <v>1</v>
      </c>
      <c r="P66">
        <f t="shared" si="1"/>
        <v>1.7857142851727691E-2</v>
      </c>
      <c r="Q66">
        <v>2.33</v>
      </c>
      <c r="R66">
        <v>2.4</v>
      </c>
    </row>
    <row r="67" spans="1:19" x14ac:dyDescent="0.2">
      <c r="A67" t="s">
        <v>93</v>
      </c>
      <c r="B67" t="s">
        <v>94</v>
      </c>
      <c r="C67" t="s">
        <v>25</v>
      </c>
      <c r="D67" t="s">
        <v>26</v>
      </c>
      <c r="E67">
        <v>1861.5</v>
      </c>
      <c r="F67">
        <v>5.0999999999999996</v>
      </c>
      <c r="G67">
        <v>1.7</v>
      </c>
      <c r="H67" t="b">
        <v>0</v>
      </c>
      <c r="I67">
        <v>16</v>
      </c>
      <c r="J67" t="s">
        <v>23</v>
      </c>
      <c r="K67" t="b">
        <v>1</v>
      </c>
      <c r="L67" t="s">
        <v>35</v>
      </c>
      <c r="M67" t="s">
        <v>84</v>
      </c>
      <c r="O67" t="b">
        <v>1</v>
      </c>
      <c r="P67">
        <f t="shared" si="1"/>
        <v>0.42499999999999999</v>
      </c>
    </row>
    <row r="68" spans="1:19" x14ac:dyDescent="0.2">
      <c r="A68" t="s">
        <v>95</v>
      </c>
      <c r="B68" t="s">
        <v>96</v>
      </c>
      <c r="C68" t="s">
        <v>25</v>
      </c>
      <c r="D68" t="s">
        <v>26</v>
      </c>
      <c r="E68">
        <v>1332.25</v>
      </c>
      <c r="F68">
        <v>3.65</v>
      </c>
      <c r="G68">
        <v>2.73</v>
      </c>
      <c r="H68" t="b">
        <v>0</v>
      </c>
      <c r="I68">
        <v>307</v>
      </c>
      <c r="J68" t="s">
        <v>23</v>
      </c>
      <c r="K68" t="b">
        <v>0</v>
      </c>
      <c r="L68" t="s">
        <v>35</v>
      </c>
      <c r="M68" t="s">
        <v>36</v>
      </c>
      <c r="P68">
        <f t="shared" si="1"/>
        <v>0.15580932973115044</v>
      </c>
      <c r="Q68">
        <v>3.34</v>
      </c>
      <c r="R68">
        <v>3.95</v>
      </c>
    </row>
    <row r="69" spans="1:19" x14ac:dyDescent="0.2">
      <c r="A69" t="s">
        <v>97</v>
      </c>
      <c r="B69" t="s">
        <v>98</v>
      </c>
      <c r="C69" t="s">
        <v>99</v>
      </c>
      <c r="D69" t="s">
        <v>100</v>
      </c>
      <c r="E69">
        <v>3</v>
      </c>
      <c r="F69">
        <v>8.2191780000000006E-3</v>
      </c>
      <c r="G69">
        <f>SQRT(I69)*(R69-Q69)/3.92</f>
        <v>5.032149846239866E-3</v>
      </c>
      <c r="H69" t="b">
        <v>1</v>
      </c>
      <c r="I69">
        <v>9</v>
      </c>
      <c r="J69" t="s">
        <v>23</v>
      </c>
      <c r="K69" t="b">
        <v>0</v>
      </c>
      <c r="P69">
        <f>G69/SQRT(I69)</f>
        <v>1.6773832820799553E-3</v>
      </c>
      <c r="Q69">
        <f>1.8/365</f>
        <v>4.9315068493150684E-3</v>
      </c>
      <c r="R69">
        <f>4.2/365</f>
        <v>1.1506849315068493E-2</v>
      </c>
      <c r="S69" t="s">
        <v>101</v>
      </c>
    </row>
    <row r="70" spans="1:19" x14ac:dyDescent="0.2">
      <c r="A70" t="s">
        <v>102</v>
      </c>
      <c r="B70" t="s">
        <v>103</v>
      </c>
      <c r="C70" t="s">
        <v>99</v>
      </c>
      <c r="D70" t="s">
        <v>100</v>
      </c>
      <c r="E70">
        <v>4.18</v>
      </c>
      <c r="F70">
        <v>1.1452054999999999E-2</v>
      </c>
      <c r="H70" t="b">
        <v>1</v>
      </c>
      <c r="I70">
        <v>1</v>
      </c>
      <c r="J70" t="s">
        <v>34</v>
      </c>
      <c r="K70" t="b">
        <v>0</v>
      </c>
      <c r="L70" t="s">
        <v>35</v>
      </c>
      <c r="M70" t="s">
        <v>84</v>
      </c>
      <c r="N70">
        <v>67</v>
      </c>
      <c r="O70" t="b">
        <v>1</v>
      </c>
    </row>
    <row r="71" spans="1:19" x14ac:dyDescent="0.2">
      <c r="A71" t="s">
        <v>102</v>
      </c>
      <c r="B71" t="s">
        <v>103</v>
      </c>
      <c r="C71" t="s">
        <v>104</v>
      </c>
      <c r="D71" t="s">
        <v>105</v>
      </c>
      <c r="E71">
        <v>0.52</v>
      </c>
      <c r="F71">
        <v>1.4246580000000001E-3</v>
      </c>
      <c r="H71" t="b">
        <v>1</v>
      </c>
      <c r="I71">
        <v>1</v>
      </c>
      <c r="J71" t="s">
        <v>34</v>
      </c>
      <c r="K71" t="b">
        <v>0</v>
      </c>
      <c r="L71" t="s">
        <v>35</v>
      </c>
      <c r="M71" t="s">
        <v>84</v>
      </c>
      <c r="N71">
        <v>67</v>
      </c>
      <c r="O71" t="b">
        <v>1</v>
      </c>
    </row>
    <row r="72" spans="1:19" x14ac:dyDescent="0.2">
      <c r="A72" t="s">
        <v>102</v>
      </c>
      <c r="B72" t="s">
        <v>103</v>
      </c>
      <c r="C72" t="s">
        <v>106</v>
      </c>
      <c r="D72" t="s">
        <v>107</v>
      </c>
      <c r="E72">
        <v>1.45</v>
      </c>
      <c r="F72">
        <v>3.9726029999999999E-3</v>
      </c>
      <c r="H72" t="b">
        <v>1</v>
      </c>
      <c r="I72">
        <v>1</v>
      </c>
      <c r="J72" t="s">
        <v>34</v>
      </c>
      <c r="K72" t="b">
        <v>0</v>
      </c>
      <c r="L72" t="s">
        <v>35</v>
      </c>
      <c r="M72" t="s">
        <v>84</v>
      </c>
      <c r="N72">
        <v>67</v>
      </c>
      <c r="O72" t="b">
        <v>1</v>
      </c>
    </row>
    <row r="73" spans="1:19" x14ac:dyDescent="0.2">
      <c r="A73" t="s">
        <v>102</v>
      </c>
      <c r="B73" t="s">
        <v>103</v>
      </c>
      <c r="C73" t="s">
        <v>59</v>
      </c>
      <c r="D73" t="s">
        <v>60</v>
      </c>
      <c r="E73">
        <v>152</v>
      </c>
      <c r="F73">
        <v>0.41643835600000001</v>
      </c>
      <c r="H73" t="b">
        <v>1</v>
      </c>
      <c r="I73">
        <v>1</v>
      </c>
      <c r="J73" t="s">
        <v>34</v>
      </c>
      <c r="K73" t="b">
        <v>0</v>
      </c>
      <c r="L73" t="s">
        <v>35</v>
      </c>
      <c r="M73" t="s">
        <v>84</v>
      </c>
      <c r="N73">
        <v>67</v>
      </c>
      <c r="O73" t="b">
        <v>1</v>
      </c>
    </row>
    <row r="74" spans="1:19" x14ac:dyDescent="0.2">
      <c r="A74" t="s">
        <v>102</v>
      </c>
      <c r="B74" t="s">
        <v>103</v>
      </c>
      <c r="C74" t="s">
        <v>25</v>
      </c>
      <c r="D74" t="s">
        <v>26</v>
      </c>
      <c r="E74">
        <v>2011</v>
      </c>
      <c r="F74">
        <v>5.5095890409999999</v>
      </c>
      <c r="H74" t="b">
        <v>1</v>
      </c>
      <c r="I74">
        <v>1</v>
      </c>
      <c r="J74" t="s">
        <v>34</v>
      </c>
      <c r="K74" t="b">
        <v>0</v>
      </c>
      <c r="L74" t="s">
        <v>35</v>
      </c>
      <c r="M74" t="s">
        <v>84</v>
      </c>
      <c r="N74">
        <v>67</v>
      </c>
      <c r="O74" t="b">
        <v>1</v>
      </c>
    </row>
    <row r="75" spans="1:19" x14ac:dyDescent="0.2">
      <c r="A75" t="s">
        <v>102</v>
      </c>
      <c r="B75" t="s">
        <v>103</v>
      </c>
      <c r="C75" t="s">
        <v>61</v>
      </c>
      <c r="D75" t="s">
        <v>62</v>
      </c>
      <c r="E75">
        <v>1305</v>
      </c>
      <c r="F75">
        <v>3.5753424659999999</v>
      </c>
      <c r="H75" t="b">
        <v>1</v>
      </c>
      <c r="I75">
        <v>1</v>
      </c>
      <c r="J75" t="s">
        <v>34</v>
      </c>
      <c r="K75" t="b">
        <v>0</v>
      </c>
      <c r="L75" t="s">
        <v>35</v>
      </c>
      <c r="M75" t="s">
        <v>84</v>
      </c>
      <c r="N75">
        <v>67</v>
      </c>
      <c r="O75" t="b">
        <v>1</v>
      </c>
    </row>
    <row r="76" spans="1:19" x14ac:dyDescent="0.2">
      <c r="A76" t="s">
        <v>102</v>
      </c>
      <c r="B76" t="s">
        <v>103</v>
      </c>
      <c r="C76" t="s">
        <v>63</v>
      </c>
      <c r="D76" t="s">
        <v>64</v>
      </c>
      <c r="E76">
        <v>862</v>
      </c>
      <c r="F76">
        <v>2.3616438359999998</v>
      </c>
      <c r="H76" t="b">
        <v>1</v>
      </c>
      <c r="I76">
        <v>1</v>
      </c>
      <c r="J76" t="s">
        <v>34</v>
      </c>
      <c r="K76" t="b">
        <v>0</v>
      </c>
      <c r="L76" t="s">
        <v>35</v>
      </c>
      <c r="M76" t="s">
        <v>84</v>
      </c>
      <c r="N76">
        <v>67</v>
      </c>
      <c r="O76" t="b">
        <v>1</v>
      </c>
    </row>
    <row r="77" spans="1:19" x14ac:dyDescent="0.2">
      <c r="A77" t="s">
        <v>102</v>
      </c>
      <c r="B77" t="s">
        <v>103</v>
      </c>
      <c r="C77" t="s">
        <v>108</v>
      </c>
      <c r="D77" t="s">
        <v>109</v>
      </c>
      <c r="E77">
        <v>584</v>
      </c>
      <c r="F77">
        <v>1.6</v>
      </c>
      <c r="H77" t="b">
        <v>1</v>
      </c>
      <c r="I77">
        <v>1</v>
      </c>
      <c r="J77" t="s">
        <v>34</v>
      </c>
      <c r="K77" t="b">
        <v>0</v>
      </c>
      <c r="L77" t="s">
        <v>35</v>
      </c>
      <c r="M77" t="s">
        <v>84</v>
      </c>
      <c r="N77">
        <v>67</v>
      </c>
      <c r="O77" t="b">
        <v>1</v>
      </c>
    </row>
    <row r="78" spans="1:19" x14ac:dyDescent="0.2">
      <c r="A78" t="s">
        <v>102</v>
      </c>
      <c r="B78" t="s">
        <v>103</v>
      </c>
      <c r="C78" t="s">
        <v>110</v>
      </c>
      <c r="D78" t="s">
        <v>111</v>
      </c>
      <c r="E78">
        <v>295</v>
      </c>
      <c r="F78">
        <v>0.80821917799999998</v>
      </c>
      <c r="H78" t="b">
        <v>1</v>
      </c>
      <c r="I78">
        <v>1</v>
      </c>
      <c r="J78" t="s">
        <v>34</v>
      </c>
      <c r="K78" t="b">
        <v>0</v>
      </c>
      <c r="L78" t="s">
        <v>35</v>
      </c>
      <c r="M78" t="s">
        <v>84</v>
      </c>
      <c r="N78">
        <v>67</v>
      </c>
      <c r="O78" t="b">
        <v>1</v>
      </c>
    </row>
    <row r="79" spans="1:19" x14ac:dyDescent="0.2">
      <c r="A79" t="s">
        <v>102</v>
      </c>
      <c r="B79" t="s">
        <v>103</v>
      </c>
      <c r="C79" t="s">
        <v>112</v>
      </c>
      <c r="D79" t="s">
        <v>113</v>
      </c>
      <c r="E79">
        <v>50.6</v>
      </c>
      <c r="F79">
        <v>0.13863013699999999</v>
      </c>
      <c r="H79" t="b">
        <v>1</v>
      </c>
      <c r="I79">
        <v>1</v>
      </c>
      <c r="J79" t="s">
        <v>34</v>
      </c>
      <c r="K79" t="b">
        <v>0</v>
      </c>
      <c r="L79" t="s">
        <v>35</v>
      </c>
      <c r="M79" t="s">
        <v>84</v>
      </c>
      <c r="N79">
        <v>67</v>
      </c>
      <c r="O79" t="b">
        <v>1</v>
      </c>
    </row>
    <row r="80" spans="1:19" x14ac:dyDescent="0.2">
      <c r="A80" t="s">
        <v>102</v>
      </c>
      <c r="B80" t="s">
        <v>103</v>
      </c>
      <c r="C80" t="s">
        <v>21</v>
      </c>
      <c r="D80" t="s">
        <v>22</v>
      </c>
      <c r="E80">
        <v>1634</v>
      </c>
      <c r="F80">
        <v>4.4767123289999997</v>
      </c>
      <c r="H80" t="b">
        <v>1</v>
      </c>
      <c r="I80">
        <v>1</v>
      </c>
      <c r="J80" t="s">
        <v>34</v>
      </c>
      <c r="K80" t="b">
        <v>0</v>
      </c>
      <c r="L80" t="s">
        <v>35</v>
      </c>
      <c r="M80" t="s">
        <v>84</v>
      </c>
      <c r="N80">
        <v>67</v>
      </c>
      <c r="O80" t="b">
        <v>1</v>
      </c>
    </row>
    <row r="81" spans="1:19" x14ac:dyDescent="0.2">
      <c r="A81" t="s">
        <v>102</v>
      </c>
      <c r="B81" t="s">
        <v>103</v>
      </c>
      <c r="C81" t="s">
        <v>27</v>
      </c>
      <c r="D81" t="s">
        <v>28</v>
      </c>
      <c r="E81">
        <v>1211</v>
      </c>
      <c r="F81">
        <v>3.3178082189999998</v>
      </c>
      <c r="H81" t="b">
        <v>1</v>
      </c>
      <c r="I81">
        <v>1</v>
      </c>
      <c r="J81" t="s">
        <v>34</v>
      </c>
      <c r="K81" t="b">
        <v>0</v>
      </c>
      <c r="L81" t="s">
        <v>35</v>
      </c>
      <c r="M81" t="s">
        <v>84</v>
      </c>
      <c r="N81">
        <v>67</v>
      </c>
      <c r="O81" t="b">
        <v>1</v>
      </c>
    </row>
    <row r="82" spans="1:19" x14ac:dyDescent="0.2">
      <c r="A82" t="s">
        <v>102</v>
      </c>
      <c r="B82" t="s">
        <v>103</v>
      </c>
      <c r="C82" t="s">
        <v>114</v>
      </c>
      <c r="D82" t="s">
        <v>115</v>
      </c>
      <c r="E82">
        <v>4.1399999999999997</v>
      </c>
      <c r="F82">
        <v>1.1342466000000001E-2</v>
      </c>
      <c r="H82" t="b">
        <v>1</v>
      </c>
      <c r="I82">
        <v>1</v>
      </c>
      <c r="J82" t="s">
        <v>34</v>
      </c>
      <c r="K82" t="b">
        <v>0</v>
      </c>
      <c r="L82" t="s">
        <v>35</v>
      </c>
      <c r="M82" t="s">
        <v>84</v>
      </c>
      <c r="N82">
        <v>67</v>
      </c>
      <c r="O82" t="b">
        <v>1</v>
      </c>
    </row>
    <row r="83" spans="1:19" x14ac:dyDescent="0.2">
      <c r="A83" t="s">
        <v>102</v>
      </c>
      <c r="B83" t="s">
        <v>103</v>
      </c>
      <c r="C83" t="s">
        <v>116</v>
      </c>
      <c r="D83" t="s">
        <v>117</v>
      </c>
      <c r="E83">
        <v>2.86</v>
      </c>
      <c r="F83">
        <v>7.8356160000000001E-3</v>
      </c>
      <c r="H83" t="b">
        <v>1</v>
      </c>
      <c r="I83">
        <v>1</v>
      </c>
      <c r="J83" t="s">
        <v>34</v>
      </c>
      <c r="K83" t="b">
        <v>0</v>
      </c>
      <c r="L83" t="s">
        <v>35</v>
      </c>
      <c r="M83" t="s">
        <v>84</v>
      </c>
      <c r="N83">
        <v>67</v>
      </c>
      <c r="O83" t="b">
        <v>1</v>
      </c>
    </row>
    <row r="84" spans="1:19" x14ac:dyDescent="0.2">
      <c r="A84" t="s">
        <v>102</v>
      </c>
      <c r="B84" t="s">
        <v>103</v>
      </c>
      <c r="C84" t="s">
        <v>118</v>
      </c>
      <c r="D84" t="s">
        <v>119</v>
      </c>
      <c r="E84">
        <v>34.700000000000003</v>
      </c>
      <c r="F84">
        <v>9.5068493000000004E-2</v>
      </c>
      <c r="H84" t="b">
        <v>1</v>
      </c>
      <c r="I84">
        <v>1</v>
      </c>
      <c r="J84" t="s">
        <v>34</v>
      </c>
      <c r="K84" t="b">
        <v>0</v>
      </c>
      <c r="L84" t="s">
        <v>35</v>
      </c>
      <c r="M84" t="s">
        <v>84</v>
      </c>
      <c r="N84">
        <v>67</v>
      </c>
      <c r="O84" t="b">
        <v>1</v>
      </c>
    </row>
    <row r="85" spans="1:19" x14ac:dyDescent="0.2">
      <c r="A85" t="s">
        <v>120</v>
      </c>
      <c r="B85" t="s">
        <v>121</v>
      </c>
      <c r="C85" t="s">
        <v>25</v>
      </c>
      <c r="D85" t="s">
        <v>26</v>
      </c>
      <c r="E85">
        <v>876</v>
      </c>
      <c r="F85">
        <v>2.4</v>
      </c>
      <c r="G85">
        <f>SQRT(I85)*(R85-Q85)/3.92</f>
        <v>0.66326530612244905</v>
      </c>
      <c r="H85" t="b">
        <v>1</v>
      </c>
      <c r="I85">
        <v>4</v>
      </c>
      <c r="J85" t="s">
        <v>34</v>
      </c>
      <c r="K85" t="b">
        <v>0</v>
      </c>
      <c r="L85" t="s">
        <v>35</v>
      </c>
      <c r="M85" t="s">
        <v>84</v>
      </c>
      <c r="O85" t="b">
        <v>1</v>
      </c>
      <c r="P85">
        <f>G85/SQRT(I85)</f>
        <v>0.33163265306122452</v>
      </c>
      <c r="Q85">
        <v>1.8</v>
      </c>
      <c r="R85">
        <v>3.1</v>
      </c>
      <c r="S85" t="s">
        <v>101</v>
      </c>
    </row>
    <row r="86" spans="1:19" x14ac:dyDescent="0.2">
      <c r="A86" t="s">
        <v>122</v>
      </c>
      <c r="B86" t="s">
        <v>123</v>
      </c>
      <c r="C86" t="s">
        <v>27</v>
      </c>
      <c r="D86" t="s">
        <v>28</v>
      </c>
      <c r="E86">
        <v>1971</v>
      </c>
      <c r="F86">
        <v>5.4</v>
      </c>
      <c r="G86">
        <f t="shared" ref="G86:G89" si="2">SQRT(I86)*(R86-Q86)/3.92</f>
        <v>3.9023108522393763</v>
      </c>
      <c r="H86" t="b">
        <v>1</v>
      </c>
      <c r="I86">
        <v>26</v>
      </c>
      <c r="J86" t="s">
        <v>23</v>
      </c>
      <c r="K86" t="b">
        <v>1</v>
      </c>
      <c r="L86" t="s">
        <v>35</v>
      </c>
      <c r="M86" t="s">
        <v>84</v>
      </c>
      <c r="N86" t="s">
        <v>72</v>
      </c>
      <c r="O86" t="b">
        <v>1</v>
      </c>
      <c r="P86">
        <f t="shared" ref="P86:P105" si="3">G86/SQRT(I86)</f>
        <v>0.76530612244897966</v>
      </c>
      <c r="Q86">
        <v>3.9</v>
      </c>
      <c r="R86">
        <v>6.9</v>
      </c>
      <c r="S86" t="s">
        <v>101</v>
      </c>
    </row>
    <row r="87" spans="1:19" x14ac:dyDescent="0.2">
      <c r="A87" t="s">
        <v>122</v>
      </c>
      <c r="B87" t="s">
        <v>123</v>
      </c>
      <c r="C87" t="s">
        <v>21</v>
      </c>
      <c r="D87" t="s">
        <v>22</v>
      </c>
      <c r="E87">
        <v>3102.5</v>
      </c>
      <c r="F87">
        <v>8.5</v>
      </c>
      <c r="G87">
        <f t="shared" si="2"/>
        <v>5.4632351931351257</v>
      </c>
      <c r="H87" t="b">
        <v>1</v>
      </c>
      <c r="I87">
        <v>26</v>
      </c>
      <c r="J87" t="s">
        <v>23</v>
      </c>
      <c r="K87" t="b">
        <v>1</v>
      </c>
      <c r="L87" t="s">
        <v>35</v>
      </c>
      <c r="M87" t="s">
        <v>84</v>
      </c>
      <c r="N87" t="s">
        <v>72</v>
      </c>
      <c r="O87" t="b">
        <v>1</v>
      </c>
      <c r="P87">
        <f t="shared" si="3"/>
        <v>1.0714285714285714</v>
      </c>
      <c r="Q87">
        <v>6.4</v>
      </c>
      <c r="R87">
        <v>10.6</v>
      </c>
      <c r="S87" t="s">
        <v>101</v>
      </c>
    </row>
    <row r="88" spans="1:19" x14ac:dyDescent="0.2">
      <c r="A88" t="s">
        <v>122</v>
      </c>
      <c r="B88" t="s">
        <v>123</v>
      </c>
      <c r="C88" t="s">
        <v>25</v>
      </c>
      <c r="D88" t="s">
        <v>26</v>
      </c>
      <c r="E88">
        <v>1387</v>
      </c>
      <c r="F88">
        <v>3.8</v>
      </c>
      <c r="G88">
        <f t="shared" si="2"/>
        <v>1.69100136930373</v>
      </c>
      <c r="H88" t="b">
        <v>1</v>
      </c>
      <c r="I88">
        <v>26</v>
      </c>
      <c r="J88" t="s">
        <v>23</v>
      </c>
      <c r="K88" t="b">
        <v>1</v>
      </c>
      <c r="L88" t="s">
        <v>35</v>
      </c>
      <c r="M88" t="s">
        <v>84</v>
      </c>
      <c r="N88" t="s">
        <v>72</v>
      </c>
      <c r="O88" t="b">
        <v>1</v>
      </c>
      <c r="P88">
        <f t="shared" si="3"/>
        <v>0.33163265306122458</v>
      </c>
      <c r="Q88">
        <v>3.1</v>
      </c>
      <c r="R88">
        <v>4.4000000000000004</v>
      </c>
      <c r="S88" t="s">
        <v>101</v>
      </c>
    </row>
    <row r="89" spans="1:19" x14ac:dyDescent="0.2">
      <c r="A89" t="s">
        <v>124</v>
      </c>
      <c r="B89" t="s">
        <v>125</v>
      </c>
      <c r="C89" t="s">
        <v>112</v>
      </c>
      <c r="D89" t="s">
        <v>113</v>
      </c>
      <c r="E89">
        <v>25.8</v>
      </c>
      <c r="F89">
        <v>7.0684932000000006E-2</v>
      </c>
      <c r="G89">
        <f t="shared" si="2"/>
        <v>2.560230562202695E-2</v>
      </c>
      <c r="H89" t="b">
        <v>1</v>
      </c>
      <c r="I89">
        <v>6</v>
      </c>
      <c r="J89" t="s">
        <v>23</v>
      </c>
      <c r="K89" t="b">
        <v>1</v>
      </c>
      <c r="L89" t="s">
        <v>35</v>
      </c>
      <c r="M89" t="s">
        <v>36</v>
      </c>
      <c r="O89" t="b">
        <v>1</v>
      </c>
      <c r="P89">
        <f t="shared" si="3"/>
        <v>1.0452097502125852E-2</v>
      </c>
      <c r="Q89">
        <f>0.691666667/24</f>
        <v>2.8819444458333333E-2</v>
      </c>
      <c r="R89">
        <f>1.675/24</f>
        <v>6.9791666666666669E-2</v>
      </c>
      <c r="S89" t="s">
        <v>101</v>
      </c>
    </row>
    <row r="90" spans="1:19" x14ac:dyDescent="0.2">
      <c r="A90" t="s">
        <v>126</v>
      </c>
      <c r="B90" t="s">
        <v>127</v>
      </c>
      <c r="C90" t="s">
        <v>106</v>
      </c>
      <c r="D90" t="s">
        <v>107</v>
      </c>
      <c r="E90">
        <v>35</v>
      </c>
      <c r="F90">
        <v>9.5890410999999995E-2</v>
      </c>
      <c r="G90">
        <v>3.5835616000000001E-2</v>
      </c>
      <c r="H90" t="b">
        <v>1</v>
      </c>
      <c r="I90">
        <v>7</v>
      </c>
      <c r="J90" t="s">
        <v>23</v>
      </c>
      <c r="K90" t="b">
        <v>1</v>
      </c>
      <c r="L90" t="s">
        <v>35</v>
      </c>
      <c r="M90" t="s">
        <v>84</v>
      </c>
      <c r="O90" t="b">
        <v>1</v>
      </c>
      <c r="P90">
        <f t="shared" si="3"/>
        <v>1.3544589716401031E-2</v>
      </c>
    </row>
    <row r="91" spans="1:19" x14ac:dyDescent="0.2">
      <c r="A91" t="s">
        <v>128</v>
      </c>
      <c r="B91" t="s">
        <v>129</v>
      </c>
      <c r="C91" t="s">
        <v>106</v>
      </c>
      <c r="D91" t="s">
        <v>107</v>
      </c>
      <c r="E91">
        <v>219</v>
      </c>
      <c r="F91">
        <v>0.6</v>
      </c>
      <c r="G91">
        <v>0.59</v>
      </c>
      <c r="H91" t="b">
        <v>1</v>
      </c>
      <c r="I91">
        <v>7</v>
      </c>
      <c r="J91" t="s">
        <v>23</v>
      </c>
      <c r="K91" t="b">
        <v>0</v>
      </c>
      <c r="L91" t="s">
        <v>35</v>
      </c>
      <c r="M91" t="s">
        <v>36</v>
      </c>
      <c r="O91" t="b">
        <v>1</v>
      </c>
      <c r="P91">
        <f t="shared" si="3"/>
        <v>0.22299903907544405</v>
      </c>
    </row>
    <row r="92" spans="1:19" x14ac:dyDescent="0.2">
      <c r="A92" t="s">
        <v>128</v>
      </c>
      <c r="B92" t="s">
        <v>129</v>
      </c>
      <c r="C92" t="s">
        <v>59</v>
      </c>
      <c r="D92" t="s">
        <v>60</v>
      </c>
      <c r="E92">
        <v>62.05</v>
      </c>
      <c r="F92">
        <v>0.17</v>
      </c>
      <c r="G92">
        <f>SQRT(I92)*(R92-Q92)/3.92</f>
        <v>8.4145012767707347E-2</v>
      </c>
      <c r="H92" t="b">
        <v>1</v>
      </c>
      <c r="I92">
        <v>17</v>
      </c>
      <c r="J92" t="s">
        <v>23</v>
      </c>
      <c r="K92" t="b">
        <v>0</v>
      </c>
      <c r="L92" t="s">
        <v>35</v>
      </c>
      <c r="M92" t="s">
        <v>36</v>
      </c>
      <c r="O92" t="b">
        <v>1</v>
      </c>
      <c r="P92">
        <f t="shared" si="3"/>
        <v>2.0408163265306121E-2</v>
      </c>
      <c r="Q92">
        <v>0.14000000000000001</v>
      </c>
      <c r="R92">
        <v>0.22</v>
      </c>
      <c r="S92" t="s">
        <v>101</v>
      </c>
    </row>
    <row r="93" spans="1:19" x14ac:dyDescent="0.2">
      <c r="A93" t="s">
        <v>128</v>
      </c>
      <c r="B93" t="s">
        <v>129</v>
      </c>
      <c r="C93" t="s">
        <v>112</v>
      </c>
      <c r="D93" t="s">
        <v>113</v>
      </c>
      <c r="E93">
        <v>43.8</v>
      </c>
      <c r="F93">
        <v>0.12</v>
      </c>
      <c r="G93">
        <f t="shared" ref="G93:G105" si="4">SQRT(I93)*(R93-Q93)/3.92</f>
        <v>5.2590632979817087E-2</v>
      </c>
      <c r="H93" t="b">
        <v>1</v>
      </c>
      <c r="I93">
        <v>17</v>
      </c>
      <c r="J93" t="s">
        <v>23</v>
      </c>
      <c r="K93" t="b">
        <v>0</v>
      </c>
      <c r="L93" t="s">
        <v>35</v>
      </c>
      <c r="M93" t="s">
        <v>36</v>
      </c>
      <c r="O93" t="b">
        <v>1</v>
      </c>
      <c r="P93">
        <f t="shared" si="3"/>
        <v>1.2755102040816323E-2</v>
      </c>
      <c r="Q93">
        <v>0.1</v>
      </c>
      <c r="R93">
        <v>0.15</v>
      </c>
      <c r="S93" t="s">
        <v>101</v>
      </c>
    </row>
    <row r="94" spans="1:19" x14ac:dyDescent="0.2">
      <c r="A94" t="s">
        <v>128</v>
      </c>
      <c r="B94" t="s">
        <v>129</v>
      </c>
      <c r="C94" t="s">
        <v>37</v>
      </c>
      <c r="D94" t="s">
        <v>38</v>
      </c>
      <c r="E94">
        <v>229.95</v>
      </c>
      <c r="F94">
        <v>0.63</v>
      </c>
      <c r="G94">
        <f t="shared" si="4"/>
        <v>0.57849696277798823</v>
      </c>
      <c r="H94" t="b">
        <v>1</v>
      </c>
      <c r="I94">
        <v>17</v>
      </c>
      <c r="J94" t="s">
        <v>23</v>
      </c>
      <c r="K94" t="b">
        <v>0</v>
      </c>
      <c r="L94" t="s">
        <v>35</v>
      </c>
      <c r="M94" t="s">
        <v>36</v>
      </c>
      <c r="O94" t="b">
        <v>1</v>
      </c>
      <c r="P94">
        <f t="shared" si="3"/>
        <v>0.14030612244897964</v>
      </c>
      <c r="Q94">
        <v>0.46</v>
      </c>
      <c r="R94">
        <v>1.01</v>
      </c>
      <c r="S94" t="s">
        <v>101</v>
      </c>
    </row>
    <row r="95" spans="1:19" x14ac:dyDescent="0.2">
      <c r="A95" t="s">
        <v>128</v>
      </c>
      <c r="B95" t="s">
        <v>129</v>
      </c>
      <c r="C95" t="s">
        <v>25</v>
      </c>
      <c r="D95" t="s">
        <v>26</v>
      </c>
      <c r="E95">
        <v>646.04999999999995</v>
      </c>
      <c r="F95">
        <v>1.77</v>
      </c>
      <c r="G95">
        <f t="shared" si="4"/>
        <v>0.8979591836734695</v>
      </c>
      <c r="H95" t="b">
        <v>1</v>
      </c>
      <c r="I95">
        <v>16</v>
      </c>
      <c r="J95" t="s">
        <v>23</v>
      </c>
      <c r="K95" t="b">
        <v>0</v>
      </c>
      <c r="L95" t="s">
        <v>35</v>
      </c>
      <c r="M95" t="s">
        <v>36</v>
      </c>
      <c r="O95" t="b">
        <v>1</v>
      </c>
      <c r="P95">
        <f t="shared" si="3"/>
        <v>0.22448979591836737</v>
      </c>
      <c r="Q95">
        <v>1.43</v>
      </c>
      <c r="R95">
        <v>2.31</v>
      </c>
      <c r="S95" t="s">
        <v>101</v>
      </c>
    </row>
    <row r="96" spans="1:19" x14ac:dyDescent="0.2">
      <c r="A96" t="s">
        <v>128</v>
      </c>
      <c r="B96" t="s">
        <v>129</v>
      </c>
      <c r="C96" t="s">
        <v>21</v>
      </c>
      <c r="D96" t="s">
        <v>22</v>
      </c>
      <c r="E96">
        <v>1043.9000000000001</v>
      </c>
      <c r="F96">
        <v>2.86</v>
      </c>
      <c r="G96">
        <f t="shared" si="4"/>
        <v>2.00520427376079</v>
      </c>
      <c r="H96" t="b">
        <v>1</v>
      </c>
      <c r="I96">
        <v>11</v>
      </c>
      <c r="J96" t="s">
        <v>23</v>
      </c>
      <c r="K96" t="b">
        <v>0</v>
      </c>
      <c r="L96" t="s">
        <v>35</v>
      </c>
      <c r="M96" t="s">
        <v>36</v>
      </c>
      <c r="O96" t="b">
        <v>1</v>
      </c>
      <c r="P96">
        <f t="shared" si="3"/>
        <v>0.60459183673469385</v>
      </c>
      <c r="Q96">
        <v>2.1</v>
      </c>
      <c r="R96">
        <v>4.47</v>
      </c>
      <c r="S96" t="s">
        <v>101</v>
      </c>
    </row>
    <row r="97" spans="1:19" x14ac:dyDescent="0.2">
      <c r="A97" t="s">
        <v>128</v>
      </c>
      <c r="B97" t="s">
        <v>129</v>
      </c>
      <c r="C97" t="s">
        <v>39</v>
      </c>
      <c r="D97" t="s">
        <v>40</v>
      </c>
      <c r="E97">
        <v>532.9</v>
      </c>
      <c r="F97">
        <v>1.46</v>
      </c>
      <c r="G97">
        <f t="shared" si="4"/>
        <v>4.3723328872736262</v>
      </c>
      <c r="H97" t="b">
        <v>1</v>
      </c>
      <c r="I97">
        <v>10</v>
      </c>
      <c r="J97" t="s">
        <v>23</v>
      </c>
      <c r="K97" t="b">
        <v>0</v>
      </c>
      <c r="L97" t="s">
        <v>35</v>
      </c>
      <c r="M97" t="s">
        <v>36</v>
      </c>
      <c r="O97" t="b">
        <v>1</v>
      </c>
      <c r="P97">
        <f t="shared" si="3"/>
        <v>1.3826530612244896</v>
      </c>
      <c r="Q97">
        <v>0.83</v>
      </c>
      <c r="R97">
        <v>6.25</v>
      </c>
      <c r="S97" t="s">
        <v>101</v>
      </c>
    </row>
    <row r="98" spans="1:19" x14ac:dyDescent="0.2">
      <c r="A98" t="s">
        <v>128</v>
      </c>
      <c r="B98" t="s">
        <v>129</v>
      </c>
      <c r="C98" t="s">
        <v>27</v>
      </c>
      <c r="D98" t="s">
        <v>28</v>
      </c>
      <c r="E98">
        <v>1062.1500000000001</v>
      </c>
      <c r="F98">
        <v>2.91</v>
      </c>
      <c r="G98">
        <f t="shared" si="4"/>
        <v>6.389091599115706</v>
      </c>
      <c r="H98" t="b">
        <v>1</v>
      </c>
      <c r="I98">
        <v>10</v>
      </c>
      <c r="J98" t="s">
        <v>23</v>
      </c>
      <c r="K98" t="b">
        <v>0</v>
      </c>
      <c r="L98" t="s">
        <v>35</v>
      </c>
      <c r="M98" t="s">
        <v>36</v>
      </c>
      <c r="O98" t="b">
        <v>1</v>
      </c>
      <c r="P98">
        <f t="shared" si="3"/>
        <v>2.0204081632653064</v>
      </c>
      <c r="Q98">
        <v>1.71</v>
      </c>
      <c r="R98">
        <v>9.6300000000000008</v>
      </c>
      <c r="S98" t="s">
        <v>101</v>
      </c>
    </row>
    <row r="99" spans="1:19" x14ac:dyDescent="0.2">
      <c r="A99" t="s">
        <v>128</v>
      </c>
      <c r="B99" t="s">
        <v>129</v>
      </c>
      <c r="C99" t="s">
        <v>41</v>
      </c>
      <c r="D99" t="s">
        <v>42</v>
      </c>
      <c r="E99">
        <v>463.55</v>
      </c>
      <c r="F99">
        <v>1.27</v>
      </c>
      <c r="G99">
        <f t="shared" si="4"/>
        <v>5.6065892189209787</v>
      </c>
      <c r="H99" t="b">
        <v>1</v>
      </c>
      <c r="I99">
        <v>10</v>
      </c>
      <c r="J99" t="s">
        <v>23</v>
      </c>
      <c r="K99" t="b">
        <v>0</v>
      </c>
      <c r="L99" t="s">
        <v>35</v>
      </c>
      <c r="M99" t="s">
        <v>36</v>
      </c>
      <c r="O99" t="b">
        <v>1</v>
      </c>
      <c r="P99">
        <f t="shared" si="3"/>
        <v>1.7729591836734693</v>
      </c>
      <c r="Q99">
        <v>0.69</v>
      </c>
      <c r="R99">
        <v>7.64</v>
      </c>
      <c r="S99" t="s">
        <v>101</v>
      </c>
    </row>
    <row r="100" spans="1:19" x14ac:dyDescent="0.2">
      <c r="A100" t="s">
        <v>128</v>
      </c>
      <c r="B100" t="s">
        <v>129</v>
      </c>
      <c r="C100" t="s">
        <v>43</v>
      </c>
      <c r="D100" t="s">
        <v>44</v>
      </c>
      <c r="E100">
        <v>397.85</v>
      </c>
      <c r="F100">
        <v>1.0900000000000001</v>
      </c>
      <c r="G100">
        <f t="shared" si="4"/>
        <v>3.178499769887047</v>
      </c>
      <c r="H100" t="b">
        <v>1</v>
      </c>
      <c r="I100">
        <v>14</v>
      </c>
      <c r="J100" t="s">
        <v>23</v>
      </c>
      <c r="K100" t="b">
        <v>0</v>
      </c>
      <c r="L100" t="s">
        <v>35</v>
      </c>
      <c r="M100" t="s">
        <v>36</v>
      </c>
      <c r="O100" t="b">
        <v>1</v>
      </c>
      <c r="P100">
        <f t="shared" si="3"/>
        <v>0.84948979591836726</v>
      </c>
      <c r="Q100">
        <v>0.63</v>
      </c>
      <c r="R100">
        <v>3.96</v>
      </c>
      <c r="S100" t="s">
        <v>101</v>
      </c>
    </row>
    <row r="101" spans="1:19" x14ac:dyDescent="0.2">
      <c r="A101" t="s">
        <v>128</v>
      </c>
      <c r="B101" t="s">
        <v>129</v>
      </c>
      <c r="C101" t="s">
        <v>45</v>
      </c>
      <c r="D101" t="s">
        <v>46</v>
      </c>
      <c r="E101">
        <v>397.85</v>
      </c>
      <c r="F101">
        <v>1.0900000000000001</v>
      </c>
      <c r="G101">
        <f t="shared" si="4"/>
        <v>3.178499769887047</v>
      </c>
      <c r="H101" t="b">
        <v>1</v>
      </c>
      <c r="I101">
        <v>14</v>
      </c>
      <c r="J101" t="s">
        <v>23</v>
      </c>
      <c r="K101" t="b">
        <v>0</v>
      </c>
      <c r="L101" t="s">
        <v>35</v>
      </c>
      <c r="M101" t="s">
        <v>36</v>
      </c>
      <c r="O101" t="b">
        <v>1</v>
      </c>
      <c r="P101">
        <f t="shared" si="3"/>
        <v>0.84948979591836726</v>
      </c>
      <c r="Q101">
        <v>0.63</v>
      </c>
      <c r="R101">
        <v>3.96</v>
      </c>
      <c r="S101" t="s">
        <v>101</v>
      </c>
    </row>
    <row r="102" spans="1:19" x14ac:dyDescent="0.2">
      <c r="A102" t="s">
        <v>128</v>
      </c>
      <c r="B102" t="s">
        <v>129</v>
      </c>
      <c r="C102" t="s">
        <v>47</v>
      </c>
      <c r="D102" t="s">
        <v>48</v>
      </c>
      <c r="E102">
        <v>397.85</v>
      </c>
      <c r="F102">
        <v>1.0900000000000001</v>
      </c>
      <c r="G102">
        <f t="shared" si="4"/>
        <v>3.178499769887047</v>
      </c>
      <c r="H102" t="b">
        <v>1</v>
      </c>
      <c r="I102">
        <v>14</v>
      </c>
      <c r="J102" t="s">
        <v>23</v>
      </c>
      <c r="K102" t="b">
        <v>0</v>
      </c>
      <c r="L102" t="s">
        <v>35</v>
      </c>
      <c r="M102" t="s">
        <v>36</v>
      </c>
      <c r="O102" t="b">
        <v>1</v>
      </c>
      <c r="P102">
        <f t="shared" si="3"/>
        <v>0.84948979591836726</v>
      </c>
      <c r="Q102">
        <v>0.63</v>
      </c>
      <c r="R102">
        <v>3.96</v>
      </c>
      <c r="S102" t="s">
        <v>101</v>
      </c>
    </row>
    <row r="103" spans="1:19" x14ac:dyDescent="0.2">
      <c r="A103" t="s">
        <v>128</v>
      </c>
      <c r="B103" t="s">
        <v>129</v>
      </c>
      <c r="C103" t="s">
        <v>49</v>
      </c>
      <c r="D103" t="s">
        <v>50</v>
      </c>
      <c r="E103">
        <v>379.6</v>
      </c>
      <c r="F103">
        <v>1.04</v>
      </c>
      <c r="G103">
        <f t="shared" si="4"/>
        <v>1.5464739353293546</v>
      </c>
      <c r="H103" t="b">
        <v>1</v>
      </c>
      <c r="I103">
        <v>12</v>
      </c>
      <c r="J103" t="s">
        <v>23</v>
      </c>
      <c r="K103" t="b">
        <v>0</v>
      </c>
      <c r="L103" t="s">
        <v>35</v>
      </c>
      <c r="M103" t="s">
        <v>36</v>
      </c>
      <c r="O103" t="b">
        <v>1</v>
      </c>
      <c r="P103">
        <f t="shared" si="3"/>
        <v>0.4464285714285714</v>
      </c>
      <c r="Q103">
        <v>0.67</v>
      </c>
      <c r="R103">
        <v>2.42</v>
      </c>
      <c r="S103" t="s">
        <v>101</v>
      </c>
    </row>
    <row r="104" spans="1:19" x14ac:dyDescent="0.2">
      <c r="A104" t="s">
        <v>128</v>
      </c>
      <c r="B104" t="s">
        <v>129</v>
      </c>
      <c r="C104" t="s">
        <v>51</v>
      </c>
      <c r="D104" t="s">
        <v>52</v>
      </c>
      <c r="E104">
        <v>379.6</v>
      </c>
      <c r="F104">
        <v>1.04</v>
      </c>
      <c r="G104">
        <f t="shared" si="4"/>
        <v>1.5464739353293546</v>
      </c>
      <c r="H104" t="b">
        <v>1</v>
      </c>
      <c r="I104">
        <v>12</v>
      </c>
      <c r="J104" t="s">
        <v>23</v>
      </c>
      <c r="K104" t="b">
        <v>0</v>
      </c>
      <c r="L104" t="s">
        <v>35</v>
      </c>
      <c r="M104" t="s">
        <v>36</v>
      </c>
      <c r="O104" t="b">
        <v>1</v>
      </c>
      <c r="P104">
        <f t="shared" si="3"/>
        <v>0.4464285714285714</v>
      </c>
      <c r="Q104">
        <v>0.67</v>
      </c>
      <c r="R104">
        <v>2.42</v>
      </c>
      <c r="S104" t="s">
        <v>101</v>
      </c>
    </row>
    <row r="105" spans="1:19" x14ac:dyDescent="0.2">
      <c r="A105" t="s">
        <v>130</v>
      </c>
      <c r="B105" t="s">
        <v>131</v>
      </c>
      <c r="C105" t="s">
        <v>61</v>
      </c>
      <c r="D105" t="s">
        <v>62</v>
      </c>
      <c r="E105">
        <v>1401.6</v>
      </c>
      <c r="F105">
        <v>3.84</v>
      </c>
      <c r="G105">
        <f t="shared" si="4"/>
        <v>6.5704996015963086</v>
      </c>
      <c r="H105" t="b">
        <v>1</v>
      </c>
      <c r="I105">
        <v>91</v>
      </c>
      <c r="J105" t="s">
        <v>23</v>
      </c>
      <c r="K105" t="b">
        <v>0</v>
      </c>
      <c r="L105" t="s">
        <v>35</v>
      </c>
      <c r="M105" t="s">
        <v>84</v>
      </c>
      <c r="O105" t="b">
        <v>1</v>
      </c>
      <c r="P105">
        <f t="shared" si="3"/>
        <v>0.68877551020408156</v>
      </c>
      <c r="Q105">
        <v>2.68</v>
      </c>
      <c r="R105">
        <v>5.38</v>
      </c>
      <c r="S105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Half-life_dataset_Human_statist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Vassilis Minadakis</dc:creator>
  <cp:lastModifiedBy>Vassilis Minadakis</cp:lastModifiedBy>
  <dcterms:created xsi:type="dcterms:W3CDTF">2026-09-17T13:59:43Z</dcterms:created>
  <dcterms:modified xsi:type="dcterms:W3CDTF">2026-09-17T13:59:43Z</dcterms:modified>
</cp:coreProperties>
</file>